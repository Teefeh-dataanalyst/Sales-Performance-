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apphire Tee\"/>
    </mc:Choice>
  </mc:AlternateContent>
  <xr:revisionPtr revIDLastSave="0" documentId="13_ncr:9_{B15DA9FD-ACD6-4F65-BE1F-312252559913}" xr6:coauthVersionLast="47" xr6:coauthVersionMax="47" xr10:uidLastSave="{00000000-0000-0000-0000-000000000000}"/>
  <bookViews>
    <workbookView xWindow="-120" yWindow="-120" windowWidth="29040" windowHeight="15720" firstSheet="2" activeTab="5" xr2:uid="{B4D44F3C-8640-4EA4-8922-268DA123220E}"/>
  </bookViews>
  <sheets>
    <sheet name="sales_transactions_raw" sheetId="1" r:id="rId1"/>
    <sheet name="dim_rep" sheetId="2" r:id="rId2"/>
    <sheet name="dim_product" sheetId="3" r:id="rId3"/>
    <sheet name="dim_segment" sheetId="4" r:id="rId4"/>
    <sheet name="dim_date" sheetId="5" r:id="rId5"/>
    <sheet name="dim_month" sheetId="8" r:id="rId6"/>
    <sheet name="Fact_sales" sheetId="6" r:id="rId7"/>
  </sheets>
  <definedNames>
    <definedName name="_xlnm._FilterDatabase" localSheetId="2" hidden="1">dim_product!$A$1:$D$1</definedName>
  </definedName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2" i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J2" i="5"/>
  <c r="I2" i="5"/>
  <c r="H2" i="5"/>
  <c r="G2" i="5"/>
  <c r="F2" i="5"/>
  <c r="E2" i="5"/>
  <c r="D2" i="5"/>
  <c r="C2" i="5"/>
  <c r="B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</calcChain>
</file>

<file path=xl/sharedStrings.xml><?xml version="1.0" encoding="utf-8"?>
<sst xmlns="http://schemas.openxmlformats.org/spreadsheetml/2006/main" count="13498" uniqueCount="902">
  <si>
    <t>deal_id</t>
  </si>
  <si>
    <t>deal_date</t>
  </si>
  <si>
    <t>month</t>
  </si>
  <si>
    <t>quarter</t>
  </si>
  <si>
    <t>rep_id</t>
  </si>
  <si>
    <t>rep_name</t>
  </si>
  <si>
    <t>region</t>
  </si>
  <si>
    <t>team</t>
  </si>
  <si>
    <t>product_id</t>
  </si>
  <si>
    <t>product_name</t>
  </si>
  <si>
    <t>category</t>
  </si>
  <si>
    <t>customer_segment</t>
  </si>
  <si>
    <t>channel</t>
  </si>
  <si>
    <t>quantity</t>
  </si>
  <si>
    <t>unit_price</t>
  </si>
  <si>
    <t>discount_pct</t>
  </si>
  <si>
    <t>deal_value</t>
  </si>
  <si>
    <t>DL1000</t>
  </si>
  <si>
    <t>2024-01</t>
  </si>
  <si>
    <t>Q1</t>
  </si>
  <si>
    <t>REP001</t>
  </si>
  <si>
    <t>Chukwuemeka Obi</t>
  </si>
  <si>
    <t>Lagos</t>
  </si>
  <si>
    <t>Enterprise</t>
  </si>
  <si>
    <t>PRD007</t>
  </si>
  <si>
    <t>POS Terminal</t>
  </si>
  <si>
    <t>Hardware</t>
  </si>
  <si>
    <t>SME</t>
  </si>
  <si>
    <t>Referral</t>
  </si>
  <si>
    <t>DL1001</t>
  </si>
  <si>
    <t>PRD003</t>
  </si>
  <si>
    <t>Data Backup Pro</t>
  </si>
  <si>
    <t>Cloud</t>
  </si>
  <si>
    <t>Inbound</t>
  </si>
  <si>
    <t>DL1002</t>
  </si>
  <si>
    <t>PRD004</t>
  </si>
  <si>
    <t>Cloud Hosting</t>
  </si>
  <si>
    <t>Partner</t>
  </si>
  <si>
    <t>DL1003</t>
  </si>
  <si>
    <t>DL1004</t>
  </si>
  <si>
    <t>PRD002</t>
  </si>
  <si>
    <t>Payroll Manager</t>
  </si>
  <si>
    <t>Software</t>
  </si>
  <si>
    <t>Government</t>
  </si>
  <si>
    <t>DL1005</t>
  </si>
  <si>
    <t>DL1006</t>
  </si>
  <si>
    <t>2024-02</t>
  </si>
  <si>
    <t>PRD006</t>
  </si>
  <si>
    <t>Cybersecurity Pkg</t>
  </si>
  <si>
    <t>Services</t>
  </si>
  <si>
    <t>DL1007</t>
  </si>
  <si>
    <t>PRD001</t>
  </si>
  <si>
    <t>CRM Suite</t>
  </si>
  <si>
    <t>DL1008</t>
  </si>
  <si>
    <t>Direct</t>
  </si>
  <si>
    <t>DL1009</t>
  </si>
  <si>
    <t>2024-03</t>
  </si>
  <si>
    <t>DL1010</t>
  </si>
  <si>
    <t>DL1011</t>
  </si>
  <si>
    <t>DL1012</t>
  </si>
  <si>
    <t>PRD008</t>
  </si>
  <si>
    <t>Network Setup</t>
  </si>
  <si>
    <t>DL1013</t>
  </si>
  <si>
    <t>DL1014</t>
  </si>
  <si>
    <t>DL1015</t>
  </si>
  <si>
    <t>Startup</t>
  </si>
  <si>
    <t>DL1016</t>
  </si>
  <si>
    <t>2024-04</t>
  </si>
  <si>
    <t>Q2</t>
  </si>
  <si>
    <t>DL1017</t>
  </si>
  <si>
    <t>DL1018</t>
  </si>
  <si>
    <t>DL1019</t>
  </si>
  <si>
    <t>DL1020</t>
  </si>
  <si>
    <t>DL1021</t>
  </si>
  <si>
    <t>DL1022</t>
  </si>
  <si>
    <t>PRD005</t>
  </si>
  <si>
    <t>IT Support Plan</t>
  </si>
  <si>
    <t>DL1023</t>
  </si>
  <si>
    <t>2024-05</t>
  </si>
  <si>
    <t>DL1024</t>
  </si>
  <si>
    <t>DL1025</t>
  </si>
  <si>
    <t>DL1026</t>
  </si>
  <si>
    <t>DL1027</t>
  </si>
  <si>
    <t>DL1028</t>
  </si>
  <si>
    <t>2024-06</t>
  </si>
  <si>
    <t>DL1029</t>
  </si>
  <si>
    <t>DL1030</t>
  </si>
  <si>
    <t>DL1031</t>
  </si>
  <si>
    <t>DL1032</t>
  </si>
  <si>
    <t>DL1033</t>
  </si>
  <si>
    <t>DL1034</t>
  </si>
  <si>
    <t>DL1035</t>
  </si>
  <si>
    <t>2024-07</t>
  </si>
  <si>
    <t>Q3</t>
  </si>
  <si>
    <t>DL1036</t>
  </si>
  <si>
    <t>DL1037</t>
  </si>
  <si>
    <t>DL1038</t>
  </si>
  <si>
    <t>DL1039</t>
  </si>
  <si>
    <t>DL1040</t>
  </si>
  <si>
    <t>DL1041</t>
  </si>
  <si>
    <t>DL1042</t>
  </si>
  <si>
    <t>DL1043</t>
  </si>
  <si>
    <t>2024-08</t>
  </si>
  <si>
    <t>DL1044</t>
  </si>
  <si>
    <t>DL1045</t>
  </si>
  <si>
    <t>DL1046</t>
  </si>
  <si>
    <t>2024-09</t>
  </si>
  <si>
    <t>DL1047</t>
  </si>
  <si>
    <t>DL1048</t>
  </si>
  <si>
    <t>DL1049</t>
  </si>
  <si>
    <t>DL1050</t>
  </si>
  <si>
    <t>DL1051</t>
  </si>
  <si>
    <t>DL1052</t>
  </si>
  <si>
    <t>DL1053</t>
  </si>
  <si>
    <t>DL1054</t>
  </si>
  <si>
    <t>2024-10</t>
  </si>
  <si>
    <t>Q4</t>
  </si>
  <si>
    <t>DL1055</t>
  </si>
  <si>
    <t>DL1056</t>
  </si>
  <si>
    <t>DL1057</t>
  </si>
  <si>
    <t>DL1058</t>
  </si>
  <si>
    <t>DL1059</t>
  </si>
  <si>
    <t>DL1060</t>
  </si>
  <si>
    <t>DL1061</t>
  </si>
  <si>
    <t>DL1062</t>
  </si>
  <si>
    <t>2024-11</t>
  </si>
  <si>
    <t>DL1063</t>
  </si>
  <si>
    <t>DL1064</t>
  </si>
  <si>
    <t>DL1065</t>
  </si>
  <si>
    <t>DL1066</t>
  </si>
  <si>
    <t>DL1067</t>
  </si>
  <si>
    <t>DL1068</t>
  </si>
  <si>
    <t>DL1069</t>
  </si>
  <si>
    <t>DL1070</t>
  </si>
  <si>
    <t>2024-12</t>
  </si>
  <si>
    <t>DL1071</t>
  </si>
  <si>
    <t>DL1072</t>
  </si>
  <si>
    <t>DL1073</t>
  </si>
  <si>
    <t>DL1074</t>
  </si>
  <si>
    <t>DL1075</t>
  </si>
  <si>
    <t>DL1076</t>
  </si>
  <si>
    <t>DL1077</t>
  </si>
  <si>
    <t>REP002</t>
  </si>
  <si>
    <t>Amina Bello</t>
  </si>
  <si>
    <t>Abuja</t>
  </si>
  <si>
    <t>DL1078</t>
  </si>
  <si>
    <t>DL1079</t>
  </si>
  <si>
    <t>DL1080</t>
  </si>
  <si>
    <t>DL1081</t>
  </si>
  <si>
    <t>DL1082</t>
  </si>
  <si>
    <t>DL1083</t>
  </si>
  <si>
    <t>DL1084</t>
  </si>
  <si>
    <t>DL1085</t>
  </si>
  <si>
    <t>DL1086</t>
  </si>
  <si>
    <t>DL1087</t>
  </si>
  <si>
    <t>DL1088</t>
  </si>
  <si>
    <t>DL1089</t>
  </si>
  <si>
    <t>DL1090</t>
  </si>
  <si>
    <t>DL1091</t>
  </si>
  <si>
    <t>DL1092</t>
  </si>
  <si>
    <t>DL1093</t>
  </si>
  <si>
    <t>DL1094</t>
  </si>
  <si>
    <t>DL1095</t>
  </si>
  <si>
    <t>DL1096</t>
  </si>
  <si>
    <t>DL1097</t>
  </si>
  <si>
    <t>DL1098</t>
  </si>
  <si>
    <t>DL1099</t>
  </si>
  <si>
    <t>DL1100</t>
  </si>
  <si>
    <t>DL1101</t>
  </si>
  <si>
    <t>DL1102</t>
  </si>
  <si>
    <t>DL1103</t>
  </si>
  <si>
    <t>DL1104</t>
  </si>
  <si>
    <t>DL1105</t>
  </si>
  <si>
    <t>DL1106</t>
  </si>
  <si>
    <t>DL1107</t>
  </si>
  <si>
    <t>DL1108</t>
  </si>
  <si>
    <t>DL1109</t>
  </si>
  <si>
    <t>DL1110</t>
  </si>
  <si>
    <t>DL1111</t>
  </si>
  <si>
    <t>DL1112</t>
  </si>
  <si>
    <t>DL1113</t>
  </si>
  <si>
    <t>DL1114</t>
  </si>
  <si>
    <t>DL1115</t>
  </si>
  <si>
    <t>DL1116</t>
  </si>
  <si>
    <t>DL1117</t>
  </si>
  <si>
    <t>DL1118</t>
  </si>
  <si>
    <t>DL1119</t>
  </si>
  <si>
    <t>DL1120</t>
  </si>
  <si>
    <t>DL1121</t>
  </si>
  <si>
    <t>DL1122</t>
  </si>
  <si>
    <t>DL1123</t>
  </si>
  <si>
    <t>DL1124</t>
  </si>
  <si>
    <t>DL1125</t>
  </si>
  <si>
    <t>DL1126</t>
  </si>
  <si>
    <t>DL1127</t>
  </si>
  <si>
    <t>DL1128</t>
  </si>
  <si>
    <t>DL1129</t>
  </si>
  <si>
    <t>DL1130</t>
  </si>
  <si>
    <t>DL1131</t>
  </si>
  <si>
    <t>DL1132</t>
  </si>
  <si>
    <t>DL1133</t>
  </si>
  <si>
    <t>DL1134</t>
  </si>
  <si>
    <t>DL1135</t>
  </si>
  <si>
    <t>DL1136</t>
  </si>
  <si>
    <t>DL1137</t>
  </si>
  <si>
    <t>DL1138</t>
  </si>
  <si>
    <t>DL1139</t>
  </si>
  <si>
    <t>DL1140</t>
  </si>
  <si>
    <t>DL1141</t>
  </si>
  <si>
    <t>DL1142</t>
  </si>
  <si>
    <t>DL1143</t>
  </si>
  <si>
    <t>DL1144</t>
  </si>
  <si>
    <t>REP003</t>
  </si>
  <si>
    <t>Tunde Fashola</t>
  </si>
  <si>
    <t>DL1145</t>
  </si>
  <si>
    <t>DL1146</t>
  </si>
  <si>
    <t>DL1147</t>
  </si>
  <si>
    <t>DL1148</t>
  </si>
  <si>
    <t>DL1149</t>
  </si>
  <si>
    <t>DL1150</t>
  </si>
  <si>
    <t>DL1151</t>
  </si>
  <si>
    <t>DL1152</t>
  </si>
  <si>
    <t>DL1153</t>
  </si>
  <si>
    <t>DL1154</t>
  </si>
  <si>
    <t>DL1155</t>
  </si>
  <si>
    <t>DL1156</t>
  </si>
  <si>
    <t>DL1157</t>
  </si>
  <si>
    <t>DL1158</t>
  </si>
  <si>
    <t>DL1159</t>
  </si>
  <si>
    <t>DL1160</t>
  </si>
  <si>
    <t>DL1161</t>
  </si>
  <si>
    <t>DL1162</t>
  </si>
  <si>
    <t>DL1163</t>
  </si>
  <si>
    <t>DL1164</t>
  </si>
  <si>
    <t>DL1165</t>
  </si>
  <si>
    <t>DL1166</t>
  </si>
  <si>
    <t>DL1167</t>
  </si>
  <si>
    <t>DL1168</t>
  </si>
  <si>
    <t>DL1169</t>
  </si>
  <si>
    <t>DL1170</t>
  </si>
  <si>
    <t>DL1171</t>
  </si>
  <si>
    <t>DL1172</t>
  </si>
  <si>
    <t>DL1173</t>
  </si>
  <si>
    <t>DL1174</t>
  </si>
  <si>
    <t>DL1175</t>
  </si>
  <si>
    <t>DL1176</t>
  </si>
  <si>
    <t>DL1177</t>
  </si>
  <si>
    <t>DL1178</t>
  </si>
  <si>
    <t>DL1179</t>
  </si>
  <si>
    <t>DL1180</t>
  </si>
  <si>
    <t>DL1181</t>
  </si>
  <si>
    <t>DL1182</t>
  </si>
  <si>
    <t>DL1183</t>
  </si>
  <si>
    <t>DL1184</t>
  </si>
  <si>
    <t>DL1185</t>
  </si>
  <si>
    <t>DL1186</t>
  </si>
  <si>
    <t>DL1187</t>
  </si>
  <si>
    <t>DL1188</t>
  </si>
  <si>
    <t>DL1189</t>
  </si>
  <si>
    <t>DL1190</t>
  </si>
  <si>
    <t>DL1191</t>
  </si>
  <si>
    <t>DL1192</t>
  </si>
  <si>
    <t>DL1193</t>
  </si>
  <si>
    <t>DL1194</t>
  </si>
  <si>
    <t>DL1195</t>
  </si>
  <si>
    <t>DL1196</t>
  </si>
  <si>
    <t>DL1197</t>
  </si>
  <si>
    <t>DL1198</t>
  </si>
  <si>
    <t>DL1199</t>
  </si>
  <si>
    <t>DL1200</t>
  </si>
  <si>
    <t>DL1201</t>
  </si>
  <si>
    <t>DL1202</t>
  </si>
  <si>
    <t>DL1203</t>
  </si>
  <si>
    <t>DL1204</t>
  </si>
  <si>
    <t>DL1205</t>
  </si>
  <si>
    <t>DL1206</t>
  </si>
  <si>
    <t>REP004</t>
  </si>
  <si>
    <t>Ngozi Adeyemi</t>
  </si>
  <si>
    <t>Port Harcourt</t>
  </si>
  <si>
    <t>DL1207</t>
  </si>
  <si>
    <t>DL1208</t>
  </si>
  <si>
    <t>DL1209</t>
  </si>
  <si>
    <t>DL1210</t>
  </si>
  <si>
    <t>DL1211</t>
  </si>
  <si>
    <t>DL1212</t>
  </si>
  <si>
    <t>DL1213</t>
  </si>
  <si>
    <t>DL1214</t>
  </si>
  <si>
    <t>DL1215</t>
  </si>
  <si>
    <t>DL1216</t>
  </si>
  <si>
    <t>DL1217</t>
  </si>
  <si>
    <t>DL1218</t>
  </si>
  <si>
    <t>DL1219</t>
  </si>
  <si>
    <t>DL1220</t>
  </si>
  <si>
    <t>DL1221</t>
  </si>
  <si>
    <t>DL1222</t>
  </si>
  <si>
    <t>DL1223</t>
  </si>
  <si>
    <t>DL1224</t>
  </si>
  <si>
    <t>DL1225</t>
  </si>
  <si>
    <t>DL1226</t>
  </si>
  <si>
    <t>DL1227</t>
  </si>
  <si>
    <t>DL1228</t>
  </si>
  <si>
    <t>DL1229</t>
  </si>
  <si>
    <t>DL1230</t>
  </si>
  <si>
    <t>DL1231</t>
  </si>
  <si>
    <t>DL1232</t>
  </si>
  <si>
    <t>DL1233</t>
  </si>
  <si>
    <t>DL1234</t>
  </si>
  <si>
    <t>DL1235</t>
  </si>
  <si>
    <t>DL1236</t>
  </si>
  <si>
    <t>DL1237</t>
  </si>
  <si>
    <t>DL1238</t>
  </si>
  <si>
    <t>DL1239</t>
  </si>
  <si>
    <t>DL1240</t>
  </si>
  <si>
    <t>DL1241</t>
  </si>
  <si>
    <t>DL1242</t>
  </si>
  <si>
    <t>DL1243</t>
  </si>
  <si>
    <t>DL1244</t>
  </si>
  <si>
    <t>DL1245</t>
  </si>
  <si>
    <t>DL1246</t>
  </si>
  <si>
    <t>DL1247</t>
  </si>
  <si>
    <t>DL1248</t>
  </si>
  <si>
    <t>DL1249</t>
  </si>
  <si>
    <t>DL1250</t>
  </si>
  <si>
    <t>DL1251</t>
  </si>
  <si>
    <t>DL1252</t>
  </si>
  <si>
    <t>DL1253</t>
  </si>
  <si>
    <t>DL1254</t>
  </si>
  <si>
    <t>DL1255</t>
  </si>
  <si>
    <t>DL1256</t>
  </si>
  <si>
    <t>DL1257</t>
  </si>
  <si>
    <t>DL1258</t>
  </si>
  <si>
    <t>DL1259</t>
  </si>
  <si>
    <t>DL1260</t>
  </si>
  <si>
    <t>DL1261</t>
  </si>
  <si>
    <t>DL1262</t>
  </si>
  <si>
    <t>DL1263</t>
  </si>
  <si>
    <t>DL1264</t>
  </si>
  <si>
    <t>DL1265</t>
  </si>
  <si>
    <t>DL1266</t>
  </si>
  <si>
    <t>DL1267</t>
  </si>
  <si>
    <t>DL1268</t>
  </si>
  <si>
    <t>REP005</t>
  </si>
  <si>
    <t>Emeka Nwosu</t>
  </si>
  <si>
    <t>Enugu</t>
  </si>
  <si>
    <t>DL1269</t>
  </si>
  <si>
    <t>DL1270</t>
  </si>
  <si>
    <t>DL1271</t>
  </si>
  <si>
    <t>DL1272</t>
  </si>
  <si>
    <t>DL1273</t>
  </si>
  <si>
    <t>DL1274</t>
  </si>
  <si>
    <t>DL1275</t>
  </si>
  <si>
    <t>DL1276</t>
  </si>
  <si>
    <t>DL1277</t>
  </si>
  <si>
    <t>DL1278</t>
  </si>
  <si>
    <t>DL1279</t>
  </si>
  <si>
    <t>DL1280</t>
  </si>
  <si>
    <t>DL1281</t>
  </si>
  <si>
    <t>DL1282</t>
  </si>
  <si>
    <t>DL1283</t>
  </si>
  <si>
    <t>DL1284</t>
  </si>
  <si>
    <t>DL1285</t>
  </si>
  <si>
    <t>DL1286</t>
  </si>
  <si>
    <t>DL1287</t>
  </si>
  <si>
    <t>DL1288</t>
  </si>
  <si>
    <t>DL1289</t>
  </si>
  <si>
    <t>DL1290</t>
  </si>
  <si>
    <t>DL1291</t>
  </si>
  <si>
    <t>DL1292</t>
  </si>
  <si>
    <t>DL1293</t>
  </si>
  <si>
    <t>DL1294</t>
  </si>
  <si>
    <t>DL1295</t>
  </si>
  <si>
    <t>DL1296</t>
  </si>
  <si>
    <t>DL1297</t>
  </si>
  <si>
    <t>DL1298</t>
  </si>
  <si>
    <t>DL1299</t>
  </si>
  <si>
    <t>DL1300</t>
  </si>
  <si>
    <t>DL1301</t>
  </si>
  <si>
    <t>DL1302</t>
  </si>
  <si>
    <t>DL1303</t>
  </si>
  <si>
    <t>DL1304</t>
  </si>
  <si>
    <t>DL1305</t>
  </si>
  <si>
    <t>DL1306</t>
  </si>
  <si>
    <t>DL1307</t>
  </si>
  <si>
    <t>DL1308</t>
  </si>
  <si>
    <t>DL1309</t>
  </si>
  <si>
    <t>DL1310</t>
  </si>
  <si>
    <t>DL1311</t>
  </si>
  <si>
    <t>DL1312</t>
  </si>
  <si>
    <t>DL1313</t>
  </si>
  <si>
    <t>DL1314</t>
  </si>
  <si>
    <t>DL1315</t>
  </si>
  <si>
    <t>DL1316</t>
  </si>
  <si>
    <t>DL1317</t>
  </si>
  <si>
    <t>DL1318</t>
  </si>
  <si>
    <t>DL1319</t>
  </si>
  <si>
    <t>DL1320</t>
  </si>
  <si>
    <t>DL1321</t>
  </si>
  <si>
    <t>DL1322</t>
  </si>
  <si>
    <t>DL1323</t>
  </si>
  <si>
    <t>DL1324</t>
  </si>
  <si>
    <t>DL1325</t>
  </si>
  <si>
    <t>DL1326</t>
  </si>
  <si>
    <t>DL1327</t>
  </si>
  <si>
    <t>DL1328</t>
  </si>
  <si>
    <t>DL1329</t>
  </si>
  <si>
    <t>DL1330</t>
  </si>
  <si>
    <t>DL1331</t>
  </si>
  <si>
    <t>DL1332</t>
  </si>
  <si>
    <t>DL1333</t>
  </si>
  <si>
    <t>DL1334</t>
  </si>
  <si>
    <t>DL1335</t>
  </si>
  <si>
    <t>DL1336</t>
  </si>
  <si>
    <t>REP006</t>
  </si>
  <si>
    <t>Fatima Aliyu</t>
  </si>
  <si>
    <t>Kano</t>
  </si>
  <si>
    <t>DL1337</t>
  </si>
  <si>
    <t>DL1338</t>
  </si>
  <si>
    <t>DL1339</t>
  </si>
  <si>
    <t>DL1340</t>
  </si>
  <si>
    <t>DL1341</t>
  </si>
  <si>
    <t>DL1342</t>
  </si>
  <si>
    <t>DL1343</t>
  </si>
  <si>
    <t>DL1344</t>
  </si>
  <si>
    <t>DL1345</t>
  </si>
  <si>
    <t>DL1346</t>
  </si>
  <si>
    <t>DL1347</t>
  </si>
  <si>
    <t>DL1348</t>
  </si>
  <si>
    <t>DL1349</t>
  </si>
  <si>
    <t>DL1350</t>
  </si>
  <si>
    <t>DL1351</t>
  </si>
  <si>
    <t>DL1352</t>
  </si>
  <si>
    <t>DL1353</t>
  </si>
  <si>
    <t>DL1354</t>
  </si>
  <si>
    <t>DL1355</t>
  </si>
  <si>
    <t>DL1356</t>
  </si>
  <si>
    <t>DL1357</t>
  </si>
  <si>
    <t>DL1358</t>
  </si>
  <si>
    <t>DL1359</t>
  </si>
  <si>
    <t>DL1360</t>
  </si>
  <si>
    <t>DL1361</t>
  </si>
  <si>
    <t>DL1362</t>
  </si>
  <si>
    <t>DL1363</t>
  </si>
  <si>
    <t>DL1364</t>
  </si>
  <si>
    <t>DL1365</t>
  </si>
  <si>
    <t>DL1366</t>
  </si>
  <si>
    <t>DL1367</t>
  </si>
  <si>
    <t>DL1368</t>
  </si>
  <si>
    <t>DL1369</t>
  </si>
  <si>
    <t>DL1370</t>
  </si>
  <si>
    <t>DL1371</t>
  </si>
  <si>
    <t>DL1372</t>
  </si>
  <si>
    <t>DL1373</t>
  </si>
  <si>
    <t>DL1374</t>
  </si>
  <si>
    <t>DL1375</t>
  </si>
  <si>
    <t>DL1376</t>
  </si>
  <si>
    <t>DL1377</t>
  </si>
  <si>
    <t>DL1378</t>
  </si>
  <si>
    <t>DL1379</t>
  </si>
  <si>
    <t>DL1380</t>
  </si>
  <si>
    <t>DL1381</t>
  </si>
  <si>
    <t>DL1382</t>
  </si>
  <si>
    <t>DL1383</t>
  </si>
  <si>
    <t>DL1384</t>
  </si>
  <si>
    <t>DL1385</t>
  </si>
  <si>
    <t>DL1386</t>
  </si>
  <si>
    <t>DL1387</t>
  </si>
  <si>
    <t>DL1388</t>
  </si>
  <si>
    <t>DL1389</t>
  </si>
  <si>
    <t>DL1390</t>
  </si>
  <si>
    <t>DL1391</t>
  </si>
  <si>
    <t>DL1392</t>
  </si>
  <si>
    <t>DL1393</t>
  </si>
  <si>
    <t>DL1394</t>
  </si>
  <si>
    <t>DL1395</t>
  </si>
  <si>
    <t>DL1396</t>
  </si>
  <si>
    <t>REP007</t>
  </si>
  <si>
    <t>Biodun Adeleke</t>
  </si>
  <si>
    <t>Ibadan</t>
  </si>
  <si>
    <t>DL1397</t>
  </si>
  <si>
    <t>DL1398</t>
  </si>
  <si>
    <t>DL1399</t>
  </si>
  <si>
    <t>DL1400</t>
  </si>
  <si>
    <t>DL1401</t>
  </si>
  <si>
    <t>DL1402</t>
  </si>
  <si>
    <t>DL1403</t>
  </si>
  <si>
    <t>DL1404</t>
  </si>
  <si>
    <t>DL1405</t>
  </si>
  <si>
    <t>DL1406</t>
  </si>
  <si>
    <t>DL1407</t>
  </si>
  <si>
    <t>DL1408</t>
  </si>
  <si>
    <t>DL1409</t>
  </si>
  <si>
    <t>DL1410</t>
  </si>
  <si>
    <t>DL1411</t>
  </si>
  <si>
    <t>DL1412</t>
  </si>
  <si>
    <t>DL1413</t>
  </si>
  <si>
    <t>DL1414</t>
  </si>
  <si>
    <t>DL1415</t>
  </si>
  <si>
    <t>DL1416</t>
  </si>
  <si>
    <t>DL1417</t>
  </si>
  <si>
    <t>DL1418</t>
  </si>
  <si>
    <t>DL1419</t>
  </si>
  <si>
    <t>DL1420</t>
  </si>
  <si>
    <t>DL1421</t>
  </si>
  <si>
    <t>DL1422</t>
  </si>
  <si>
    <t>DL1423</t>
  </si>
  <si>
    <t>DL1424</t>
  </si>
  <si>
    <t>DL1425</t>
  </si>
  <si>
    <t>DL1426</t>
  </si>
  <si>
    <t>DL1427</t>
  </si>
  <si>
    <t>DL1428</t>
  </si>
  <si>
    <t>DL1429</t>
  </si>
  <si>
    <t>DL1430</t>
  </si>
  <si>
    <t>DL1431</t>
  </si>
  <si>
    <t>DL1432</t>
  </si>
  <si>
    <t>DL1433</t>
  </si>
  <si>
    <t>DL1434</t>
  </si>
  <si>
    <t>DL1435</t>
  </si>
  <si>
    <t>DL1436</t>
  </si>
  <si>
    <t>DL1437</t>
  </si>
  <si>
    <t>DL1438</t>
  </si>
  <si>
    <t>DL1439</t>
  </si>
  <si>
    <t>DL1440</t>
  </si>
  <si>
    <t>DL1441</t>
  </si>
  <si>
    <t>DL1442</t>
  </si>
  <si>
    <t>DL1443</t>
  </si>
  <si>
    <t>DL1444</t>
  </si>
  <si>
    <t>DL1445</t>
  </si>
  <si>
    <t>DL1446</t>
  </si>
  <si>
    <t>DL1447</t>
  </si>
  <si>
    <t>DL1448</t>
  </si>
  <si>
    <t>DL1449</t>
  </si>
  <si>
    <t>DL1450</t>
  </si>
  <si>
    <t>DL1451</t>
  </si>
  <si>
    <t>REP008</t>
  </si>
  <si>
    <t>Chisom Eze</t>
  </si>
  <si>
    <t>DL1452</t>
  </si>
  <si>
    <t>DL1453</t>
  </si>
  <si>
    <t>DL1454</t>
  </si>
  <si>
    <t>DL1455</t>
  </si>
  <si>
    <t>DL1456</t>
  </si>
  <si>
    <t>DL1457</t>
  </si>
  <si>
    <t>DL1458</t>
  </si>
  <si>
    <t>DL1459</t>
  </si>
  <si>
    <t>DL1460</t>
  </si>
  <si>
    <t>DL1461</t>
  </si>
  <si>
    <t>DL1462</t>
  </si>
  <si>
    <t>DL1463</t>
  </si>
  <si>
    <t>DL1464</t>
  </si>
  <si>
    <t>DL1465</t>
  </si>
  <si>
    <t>DL1466</t>
  </si>
  <si>
    <t>DL1467</t>
  </si>
  <si>
    <t>DL1468</t>
  </si>
  <si>
    <t>DL1469</t>
  </si>
  <si>
    <t>DL1470</t>
  </si>
  <si>
    <t>DL1471</t>
  </si>
  <si>
    <t>DL1472</t>
  </si>
  <si>
    <t>DL1473</t>
  </si>
  <si>
    <t>DL1474</t>
  </si>
  <si>
    <t>DL1475</t>
  </si>
  <si>
    <t>DL1476</t>
  </si>
  <si>
    <t>DL1477</t>
  </si>
  <si>
    <t>DL1478</t>
  </si>
  <si>
    <t>DL1479</t>
  </si>
  <si>
    <t>DL1480</t>
  </si>
  <si>
    <t>DL1481</t>
  </si>
  <si>
    <t>DL1482</t>
  </si>
  <si>
    <t>DL1483</t>
  </si>
  <si>
    <t>DL1484</t>
  </si>
  <si>
    <t>DL1485</t>
  </si>
  <si>
    <t>DL1486</t>
  </si>
  <si>
    <t>DL1487</t>
  </si>
  <si>
    <t>DL1488</t>
  </si>
  <si>
    <t>DL1489</t>
  </si>
  <si>
    <t>DL1490</t>
  </si>
  <si>
    <t>DL1491</t>
  </si>
  <si>
    <t>DL1492</t>
  </si>
  <si>
    <t>DL1493</t>
  </si>
  <si>
    <t>DL1494</t>
  </si>
  <si>
    <t>DL1495</t>
  </si>
  <si>
    <t>DL1496</t>
  </si>
  <si>
    <t>DL1497</t>
  </si>
  <si>
    <t>DL1498</t>
  </si>
  <si>
    <t>DL1499</t>
  </si>
  <si>
    <t>DL1500</t>
  </si>
  <si>
    <t>DL1501</t>
  </si>
  <si>
    <t>DL1502</t>
  </si>
  <si>
    <t>DL1503</t>
  </si>
  <si>
    <t>DL1504</t>
  </si>
  <si>
    <t>DL1505</t>
  </si>
  <si>
    <t>DL1506</t>
  </si>
  <si>
    <t>DL1507</t>
  </si>
  <si>
    <t>DL1508</t>
  </si>
  <si>
    <t>DL1509</t>
  </si>
  <si>
    <t>DL1510</t>
  </si>
  <si>
    <t>DL1511</t>
  </si>
  <si>
    <t>DL1512</t>
  </si>
  <si>
    <t>DL1513</t>
  </si>
  <si>
    <t>DL1514</t>
  </si>
  <si>
    <t>DL1515</t>
  </si>
  <si>
    <t>DL1516</t>
  </si>
  <si>
    <t>DL1517</t>
  </si>
  <si>
    <t>DL1518</t>
  </si>
  <si>
    <t>DL1519</t>
  </si>
  <si>
    <t>REP009</t>
  </si>
  <si>
    <t>Rasheed Kareem</t>
  </si>
  <si>
    <t>DL1520</t>
  </si>
  <si>
    <t>DL1521</t>
  </si>
  <si>
    <t>DL1522</t>
  </si>
  <si>
    <t>DL1523</t>
  </si>
  <si>
    <t>DL1524</t>
  </si>
  <si>
    <t>DL1525</t>
  </si>
  <si>
    <t>DL1526</t>
  </si>
  <si>
    <t>DL1527</t>
  </si>
  <si>
    <t>DL1528</t>
  </si>
  <si>
    <t>DL1529</t>
  </si>
  <si>
    <t>DL1530</t>
  </si>
  <si>
    <t>DL1531</t>
  </si>
  <si>
    <t>DL1532</t>
  </si>
  <si>
    <t>DL1533</t>
  </si>
  <si>
    <t>DL1534</t>
  </si>
  <si>
    <t>DL1535</t>
  </si>
  <si>
    <t>DL1536</t>
  </si>
  <si>
    <t>DL1537</t>
  </si>
  <si>
    <t>DL1538</t>
  </si>
  <si>
    <t>DL1539</t>
  </si>
  <si>
    <t>DL1540</t>
  </si>
  <si>
    <t>DL1541</t>
  </si>
  <si>
    <t>DL1542</t>
  </si>
  <si>
    <t>DL1543</t>
  </si>
  <si>
    <t>DL1544</t>
  </si>
  <si>
    <t>DL1545</t>
  </si>
  <si>
    <t>DL1546</t>
  </si>
  <si>
    <t>DL1547</t>
  </si>
  <si>
    <t>DL1548</t>
  </si>
  <si>
    <t>DL1549</t>
  </si>
  <si>
    <t>DL1550</t>
  </si>
  <si>
    <t>DL1551</t>
  </si>
  <si>
    <t>DL1552</t>
  </si>
  <si>
    <t>DL1553</t>
  </si>
  <si>
    <t>DL1554</t>
  </si>
  <si>
    <t>DL1555</t>
  </si>
  <si>
    <t>DL1556</t>
  </si>
  <si>
    <t>DL1557</t>
  </si>
  <si>
    <t>DL1558</t>
  </si>
  <si>
    <t>DL1559</t>
  </si>
  <si>
    <t>DL1560</t>
  </si>
  <si>
    <t>DL1561</t>
  </si>
  <si>
    <t>DL1562</t>
  </si>
  <si>
    <t>DL1563</t>
  </si>
  <si>
    <t>DL1564</t>
  </si>
  <si>
    <t>DL1565</t>
  </si>
  <si>
    <t>DL1566</t>
  </si>
  <si>
    <t>DL1567</t>
  </si>
  <si>
    <t>DL1568</t>
  </si>
  <si>
    <t>DL1569</t>
  </si>
  <si>
    <t>DL1570</t>
  </si>
  <si>
    <t>DL1571</t>
  </si>
  <si>
    <t>DL1572</t>
  </si>
  <si>
    <t>DL1573</t>
  </si>
  <si>
    <t>DL1574</t>
  </si>
  <si>
    <t>DL1575</t>
  </si>
  <si>
    <t>DL1576</t>
  </si>
  <si>
    <t>DL1577</t>
  </si>
  <si>
    <t>DL1578</t>
  </si>
  <si>
    <t>DL1579</t>
  </si>
  <si>
    <t>DL1580</t>
  </si>
  <si>
    <t>DL1581</t>
  </si>
  <si>
    <t>DL1582</t>
  </si>
  <si>
    <t>DL1583</t>
  </si>
  <si>
    <t>DL1584</t>
  </si>
  <si>
    <t>DL1585</t>
  </si>
  <si>
    <t>DL1586</t>
  </si>
  <si>
    <t>DL1587</t>
  </si>
  <si>
    <t>REP010</t>
  </si>
  <si>
    <t>Yetunde Afolabi</t>
  </si>
  <si>
    <t>DL1588</t>
  </si>
  <si>
    <t>DL1589</t>
  </si>
  <si>
    <t>DL1590</t>
  </si>
  <si>
    <t>DL1591</t>
  </si>
  <si>
    <t>DL1592</t>
  </si>
  <si>
    <t>DL1593</t>
  </si>
  <si>
    <t>DL1594</t>
  </si>
  <si>
    <t>DL1595</t>
  </si>
  <si>
    <t>DL1596</t>
  </si>
  <si>
    <t>DL1597</t>
  </si>
  <si>
    <t>DL1598</t>
  </si>
  <si>
    <t>DL1599</t>
  </si>
  <si>
    <t>DL1600</t>
  </si>
  <si>
    <t>DL1601</t>
  </si>
  <si>
    <t>DL1602</t>
  </si>
  <si>
    <t>DL1603</t>
  </si>
  <si>
    <t>DL1604</t>
  </si>
  <si>
    <t>DL1605</t>
  </si>
  <si>
    <t>DL1606</t>
  </si>
  <si>
    <t>DL1607</t>
  </si>
  <si>
    <t>DL1608</t>
  </si>
  <si>
    <t>DL1609</t>
  </si>
  <si>
    <t>DL1610</t>
  </si>
  <si>
    <t>DL1611</t>
  </si>
  <si>
    <t>DL1612</t>
  </si>
  <si>
    <t>DL1613</t>
  </si>
  <si>
    <t>DL1614</t>
  </si>
  <si>
    <t>DL1615</t>
  </si>
  <si>
    <t>DL1616</t>
  </si>
  <si>
    <t>DL1617</t>
  </si>
  <si>
    <t>DL1618</t>
  </si>
  <si>
    <t>DL1619</t>
  </si>
  <si>
    <t>DL1620</t>
  </si>
  <si>
    <t>DL1621</t>
  </si>
  <si>
    <t>DL1622</t>
  </si>
  <si>
    <t>DL1623</t>
  </si>
  <si>
    <t>DL1624</t>
  </si>
  <si>
    <t>DL1625</t>
  </si>
  <si>
    <t>DL1626</t>
  </si>
  <si>
    <t>DL1627</t>
  </si>
  <si>
    <t>DL1628</t>
  </si>
  <si>
    <t>DL1629</t>
  </si>
  <si>
    <t>DL1630</t>
  </si>
  <si>
    <t>DL1631</t>
  </si>
  <si>
    <t>DL1632</t>
  </si>
  <si>
    <t>DL1633</t>
  </si>
  <si>
    <t>DL1634</t>
  </si>
  <si>
    <t>DL1635</t>
  </si>
  <si>
    <t>DL1636</t>
  </si>
  <si>
    <t>DL1637</t>
  </si>
  <si>
    <t>DL1638</t>
  </si>
  <si>
    <t>DL1639</t>
  </si>
  <si>
    <t>DL1640</t>
  </si>
  <si>
    <t>DL1641</t>
  </si>
  <si>
    <t>DL1642</t>
  </si>
  <si>
    <t>DL1643</t>
  </si>
  <si>
    <t>DL1644</t>
  </si>
  <si>
    <t>DL1645</t>
  </si>
  <si>
    <t>DL1646</t>
  </si>
  <si>
    <t>DL1647</t>
  </si>
  <si>
    <t>DL1648</t>
  </si>
  <si>
    <t>DL1649</t>
  </si>
  <si>
    <t>DL1650</t>
  </si>
  <si>
    <t>DL1651</t>
  </si>
  <si>
    <t>DL1652</t>
  </si>
  <si>
    <t>DL1653</t>
  </si>
  <si>
    <t>DL1654</t>
  </si>
  <si>
    <t>DL1655</t>
  </si>
  <si>
    <t>DL1656</t>
  </si>
  <si>
    <t>DL1657</t>
  </si>
  <si>
    <t>DL1658</t>
  </si>
  <si>
    <t>DL1659</t>
  </si>
  <si>
    <t>DL1660</t>
  </si>
  <si>
    <t>DL1661</t>
  </si>
  <si>
    <t>REP011</t>
  </si>
  <si>
    <t>Obinna Okafor</t>
  </si>
  <si>
    <t>DL1662</t>
  </si>
  <si>
    <t>DL1663</t>
  </si>
  <si>
    <t>DL1664</t>
  </si>
  <si>
    <t>DL1665</t>
  </si>
  <si>
    <t>DL1666</t>
  </si>
  <si>
    <t>DL1667</t>
  </si>
  <si>
    <t>DL1668</t>
  </si>
  <si>
    <t>DL1669</t>
  </si>
  <si>
    <t>DL1670</t>
  </si>
  <si>
    <t>DL1671</t>
  </si>
  <si>
    <t>DL1672</t>
  </si>
  <si>
    <t>DL1673</t>
  </si>
  <si>
    <t>DL1674</t>
  </si>
  <si>
    <t>DL1675</t>
  </si>
  <si>
    <t>DL1676</t>
  </si>
  <si>
    <t>DL1677</t>
  </si>
  <si>
    <t>DL1678</t>
  </si>
  <si>
    <t>DL1679</t>
  </si>
  <si>
    <t>DL1680</t>
  </si>
  <si>
    <t>DL1681</t>
  </si>
  <si>
    <t>DL1682</t>
  </si>
  <si>
    <t>DL1683</t>
  </si>
  <si>
    <t>DL1684</t>
  </si>
  <si>
    <t>DL1685</t>
  </si>
  <si>
    <t>DL1686</t>
  </si>
  <si>
    <t>DL1687</t>
  </si>
  <si>
    <t>DL1688</t>
  </si>
  <si>
    <t>DL1689</t>
  </si>
  <si>
    <t>DL1690</t>
  </si>
  <si>
    <t>DL1691</t>
  </si>
  <si>
    <t>DL1692</t>
  </si>
  <si>
    <t>DL1693</t>
  </si>
  <si>
    <t>DL1694</t>
  </si>
  <si>
    <t>DL1695</t>
  </si>
  <si>
    <t>DL1696</t>
  </si>
  <si>
    <t>DL1697</t>
  </si>
  <si>
    <t>DL1698</t>
  </si>
  <si>
    <t>DL1699</t>
  </si>
  <si>
    <t>DL1700</t>
  </si>
  <si>
    <t>DL1701</t>
  </si>
  <si>
    <t>DL1702</t>
  </si>
  <si>
    <t>DL1703</t>
  </si>
  <si>
    <t>DL1704</t>
  </si>
  <si>
    <t>DL1705</t>
  </si>
  <si>
    <t>DL1706</t>
  </si>
  <si>
    <t>DL1707</t>
  </si>
  <si>
    <t>DL1708</t>
  </si>
  <si>
    <t>DL1709</t>
  </si>
  <si>
    <t>DL1710</t>
  </si>
  <si>
    <t>DL1711</t>
  </si>
  <si>
    <t>DL1712</t>
  </si>
  <si>
    <t>DL1713</t>
  </si>
  <si>
    <t>DL1714</t>
  </si>
  <si>
    <t>DL1715</t>
  </si>
  <si>
    <t>DL1716</t>
  </si>
  <si>
    <t>DL1717</t>
  </si>
  <si>
    <t>DL1718</t>
  </si>
  <si>
    <t>DL1719</t>
  </si>
  <si>
    <t>DL1720</t>
  </si>
  <si>
    <t>DL1721</t>
  </si>
  <si>
    <t>DL1722</t>
  </si>
  <si>
    <t>DL1723</t>
  </si>
  <si>
    <t>DL1724</t>
  </si>
  <si>
    <t>REP012</t>
  </si>
  <si>
    <t>Hauwa Musa</t>
  </si>
  <si>
    <t>DL1725</t>
  </si>
  <si>
    <t>DL1726</t>
  </si>
  <si>
    <t>DL1727</t>
  </si>
  <si>
    <t>DL1728</t>
  </si>
  <si>
    <t>DL1729</t>
  </si>
  <si>
    <t>DL1730</t>
  </si>
  <si>
    <t>DL1731</t>
  </si>
  <si>
    <t>DL1732</t>
  </si>
  <si>
    <t>DL1733</t>
  </si>
  <si>
    <t>DL1734</t>
  </si>
  <si>
    <t>DL1735</t>
  </si>
  <si>
    <t>DL1736</t>
  </si>
  <si>
    <t>DL1737</t>
  </si>
  <si>
    <t>DL1738</t>
  </si>
  <si>
    <t>DL1739</t>
  </si>
  <si>
    <t>DL1740</t>
  </si>
  <si>
    <t>DL1741</t>
  </si>
  <si>
    <t>DL1742</t>
  </si>
  <si>
    <t>DL1743</t>
  </si>
  <si>
    <t>DL1744</t>
  </si>
  <si>
    <t>DL1745</t>
  </si>
  <si>
    <t>DL1746</t>
  </si>
  <si>
    <t>DL1747</t>
  </si>
  <si>
    <t>DL1748</t>
  </si>
  <si>
    <t>DL1749</t>
  </si>
  <si>
    <t>DL1750</t>
  </si>
  <si>
    <t>DL1751</t>
  </si>
  <si>
    <t>DL1752</t>
  </si>
  <si>
    <t>DL1753</t>
  </si>
  <si>
    <t>DL1754</t>
  </si>
  <si>
    <t>DL1755</t>
  </si>
  <si>
    <t>DL1756</t>
  </si>
  <si>
    <t>DL1757</t>
  </si>
  <si>
    <t>DL1758</t>
  </si>
  <si>
    <t>DL1759</t>
  </si>
  <si>
    <t>DL1760</t>
  </si>
  <si>
    <t>DL1761</t>
  </si>
  <si>
    <t>DL1762</t>
  </si>
  <si>
    <t>DL1763</t>
  </si>
  <si>
    <t>DL1764</t>
  </si>
  <si>
    <t>DL1765</t>
  </si>
  <si>
    <t>DL1766</t>
  </si>
  <si>
    <t>DL1767</t>
  </si>
  <si>
    <t>DL1768</t>
  </si>
  <si>
    <t>DL1769</t>
  </si>
  <si>
    <t>DL1770</t>
  </si>
  <si>
    <t>DL1771</t>
  </si>
  <si>
    <t>DL1772</t>
  </si>
  <si>
    <t>DL1773</t>
  </si>
  <si>
    <t>DL1774</t>
  </si>
  <si>
    <t>DL1775</t>
  </si>
  <si>
    <t>DL1776</t>
  </si>
  <si>
    <t>DL1777</t>
  </si>
  <si>
    <t>DL1778</t>
  </si>
  <si>
    <t>DL1779</t>
  </si>
  <si>
    <t>DL1780</t>
  </si>
  <si>
    <t>DL1781</t>
  </si>
  <si>
    <t>DL1782</t>
  </si>
  <si>
    <t>DL1783</t>
  </si>
  <si>
    <t>segment_id</t>
  </si>
  <si>
    <t>segment_name</t>
  </si>
  <si>
    <t>SEG001</t>
  </si>
  <si>
    <t>SEG002</t>
  </si>
  <si>
    <t>SEG003</t>
  </si>
  <si>
    <t>SEG004</t>
  </si>
  <si>
    <t>Date_key</t>
  </si>
  <si>
    <t>day</t>
  </si>
  <si>
    <t>month_no</t>
  </si>
  <si>
    <t>month_name</t>
  </si>
  <si>
    <t>quarter_no</t>
  </si>
  <si>
    <t>year</t>
  </si>
  <si>
    <t>year_month</t>
  </si>
  <si>
    <t>day_name</t>
  </si>
  <si>
    <t>is_weekend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</si>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</sst>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9170-A7EE-4B8B-970B-0F62052AD9B5}">
  <dimension ref="A1:R785"/>
  <sheetViews>
    <sheetView workbookViewId="0">
      <selection activeCell="H1" activeCellId="3" sqref="E1:E1048576 F1:F1048576 G1:G1048576 H1:H1048576"/>
    </sheetView>
  </sheetViews>
  <sheetFormatPr defaultColWidth="16" defaultRowHeight="15" x14ac:dyDescent="0.25"/>
  <cols>
    <col min="2" max="3" width="16" style="1"/>
    <col min="15" max="16" width="16" style="2"/>
    <col min="18" max="18" width="16" style="2"/>
  </cols>
  <sheetData>
    <row r="1" spans="1:18" s="3" customFormat="1" x14ac:dyDescent="0.25">
      <c r="A1" s="3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875</v>
      </c>
      <c r="N1" s="3" t="s">
        <v>12</v>
      </c>
      <c r="O1" s="4" t="s">
        <v>13</v>
      </c>
      <c r="P1" s="4" t="s">
        <v>14</v>
      </c>
      <c r="Q1" s="3" t="s">
        <v>15</v>
      </c>
      <c r="R1" s="4" t="s">
        <v>16</v>
      </c>
    </row>
    <row r="2" spans="1:18" x14ac:dyDescent="0.25">
      <c r="A2" t="s">
        <v>17</v>
      </c>
      <c r="B2" s="1">
        <v>45297</v>
      </c>
      <c r="C2" s="1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tr">
        <f>INDEX( dim_segment!$A$2:$A$5,MATCH(L2,  dim_segment!$B$2:$B$5, 0))</f>
        <v>SEG002</v>
      </c>
      <c r="N2" t="s">
        <v>28</v>
      </c>
      <c r="O2" s="2">
        <v>4</v>
      </c>
      <c r="P2" s="2">
        <v>75000</v>
      </c>
      <c r="Q2">
        <v>0.08</v>
      </c>
      <c r="R2" s="2">
        <v>276000</v>
      </c>
    </row>
    <row r="3" spans="1:18" x14ac:dyDescent="0.25">
      <c r="A3" t="s">
        <v>29</v>
      </c>
      <c r="B3" s="1">
        <v>45304</v>
      </c>
      <c r="C3" s="1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30</v>
      </c>
      <c r="J3" t="s">
        <v>31</v>
      </c>
      <c r="K3" t="s">
        <v>32</v>
      </c>
      <c r="L3" t="s">
        <v>23</v>
      </c>
      <c r="M3" t="str">
        <f>INDEX( dim_segment!$A$2:$A$5,MATCH(L3,  dim_segment!$B$2:$B$5, 0))</f>
        <v>SEG001</v>
      </c>
      <c r="N3" t="s">
        <v>33</v>
      </c>
      <c r="O3" s="2">
        <v>1</v>
      </c>
      <c r="P3" s="2">
        <v>60000</v>
      </c>
      <c r="Q3">
        <v>0.09</v>
      </c>
      <c r="R3" s="2">
        <v>54600</v>
      </c>
    </row>
    <row r="4" spans="1:18" x14ac:dyDescent="0.25">
      <c r="A4" t="s">
        <v>34</v>
      </c>
      <c r="B4" s="1">
        <v>45310</v>
      </c>
      <c r="C4" s="1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35</v>
      </c>
      <c r="J4" t="s">
        <v>36</v>
      </c>
      <c r="K4" t="s">
        <v>32</v>
      </c>
      <c r="L4" t="s">
        <v>27</v>
      </c>
      <c r="M4" t="str">
        <f>INDEX( dim_segment!$A$2:$A$5,MATCH(L4,  dim_segment!$B$2:$B$5, 0))</f>
        <v>SEG002</v>
      </c>
      <c r="N4" t="s">
        <v>37</v>
      </c>
      <c r="O4" s="2">
        <v>4</v>
      </c>
      <c r="P4" s="2">
        <v>45000</v>
      </c>
      <c r="Q4">
        <v>0.16</v>
      </c>
      <c r="R4" s="2">
        <v>151200</v>
      </c>
    </row>
    <row r="5" spans="1:18" x14ac:dyDescent="0.25">
      <c r="A5" t="s">
        <v>38</v>
      </c>
      <c r="B5" s="1">
        <v>45313</v>
      </c>
      <c r="C5" s="1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tr">
        <f>INDEX( dim_segment!$A$2:$A$5,MATCH(L5,  dim_segment!$B$2:$B$5, 0))</f>
        <v>SEG002</v>
      </c>
      <c r="N5" t="s">
        <v>37</v>
      </c>
      <c r="O5" s="2">
        <v>2</v>
      </c>
      <c r="P5" s="2">
        <v>75000</v>
      </c>
      <c r="Q5">
        <v>7.0000000000000007E-2</v>
      </c>
      <c r="R5" s="2">
        <v>139500</v>
      </c>
    </row>
    <row r="6" spans="1:18" x14ac:dyDescent="0.25">
      <c r="A6" t="s">
        <v>39</v>
      </c>
      <c r="B6" s="1">
        <v>45294</v>
      </c>
      <c r="C6" s="1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40</v>
      </c>
      <c r="J6" t="s">
        <v>41</v>
      </c>
      <c r="K6" t="s">
        <v>42</v>
      </c>
      <c r="L6" t="s">
        <v>43</v>
      </c>
      <c r="M6" t="str">
        <f>INDEX( dim_segment!$A$2:$A$5,MATCH(L6,  dim_segment!$B$2:$B$5, 0))</f>
        <v>SEG004</v>
      </c>
      <c r="N6" t="s">
        <v>37</v>
      </c>
      <c r="O6" s="2">
        <v>5</v>
      </c>
      <c r="P6" s="2">
        <v>85000</v>
      </c>
      <c r="Q6">
        <v>0.15</v>
      </c>
      <c r="R6" s="2">
        <v>361200</v>
      </c>
    </row>
    <row r="7" spans="1:18" x14ac:dyDescent="0.25">
      <c r="A7" t="s">
        <v>44</v>
      </c>
      <c r="B7" s="1">
        <v>45292</v>
      </c>
      <c r="C7" s="1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43</v>
      </c>
      <c r="M7" t="str">
        <f>INDEX( dim_segment!$A$2:$A$5,MATCH(L7,  dim_segment!$B$2:$B$5, 0))</f>
        <v>SEG004</v>
      </c>
      <c r="N7" t="s">
        <v>28</v>
      </c>
      <c r="O7" s="2">
        <v>1</v>
      </c>
      <c r="P7" s="2">
        <v>75000</v>
      </c>
      <c r="Q7">
        <v>0.09</v>
      </c>
      <c r="R7" s="2">
        <v>68200</v>
      </c>
    </row>
    <row r="8" spans="1:18" x14ac:dyDescent="0.25">
      <c r="A8" t="s">
        <v>45</v>
      </c>
      <c r="B8" s="1">
        <v>45339</v>
      </c>
      <c r="C8" s="1" t="s">
        <v>46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47</v>
      </c>
      <c r="J8" t="s">
        <v>48</v>
      </c>
      <c r="K8" t="s">
        <v>49</v>
      </c>
      <c r="L8" t="s">
        <v>27</v>
      </c>
      <c r="M8" t="str">
        <f>INDEX( dim_segment!$A$2:$A$5,MATCH(L8,  dim_segment!$B$2:$B$5, 0))</f>
        <v>SEG002</v>
      </c>
      <c r="N8" t="s">
        <v>33</v>
      </c>
      <c r="O8" s="2">
        <v>5</v>
      </c>
      <c r="P8" s="2">
        <v>200000</v>
      </c>
      <c r="Q8">
        <v>0.06</v>
      </c>
      <c r="R8" s="2">
        <v>940000</v>
      </c>
    </row>
    <row r="9" spans="1:18" x14ac:dyDescent="0.25">
      <c r="A9" t="s">
        <v>50</v>
      </c>
      <c r="B9" s="1">
        <v>45345</v>
      </c>
      <c r="C9" s="1" t="s">
        <v>46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51</v>
      </c>
      <c r="J9" t="s">
        <v>52</v>
      </c>
      <c r="K9" t="s">
        <v>42</v>
      </c>
      <c r="L9" t="s">
        <v>27</v>
      </c>
      <c r="M9" t="str">
        <f>INDEX( dim_segment!$A$2:$A$5,MATCH(L9,  dim_segment!$B$2:$B$5, 0))</f>
        <v>SEG002</v>
      </c>
      <c r="N9" t="s">
        <v>33</v>
      </c>
      <c r="O9" s="2">
        <v>3</v>
      </c>
      <c r="P9" s="2">
        <v>150000</v>
      </c>
      <c r="Q9">
        <v>7.0000000000000007E-2</v>
      </c>
      <c r="R9" s="2">
        <v>418500</v>
      </c>
    </row>
    <row r="10" spans="1:18" x14ac:dyDescent="0.25">
      <c r="A10" t="s">
        <v>53</v>
      </c>
      <c r="B10" s="1">
        <v>45324</v>
      </c>
      <c r="C10" s="1" t="s">
        <v>46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30</v>
      </c>
      <c r="J10" t="s">
        <v>31</v>
      </c>
      <c r="K10" t="s">
        <v>32</v>
      </c>
      <c r="L10" t="s">
        <v>23</v>
      </c>
      <c r="M10" t="str">
        <f>INDEX( dim_segment!$A$2:$A$5,MATCH(L10,  dim_segment!$B$2:$B$5, 0))</f>
        <v>SEG001</v>
      </c>
      <c r="N10" t="s">
        <v>54</v>
      </c>
      <c r="O10" s="2">
        <v>5</v>
      </c>
      <c r="P10" s="2">
        <v>60000</v>
      </c>
      <c r="Q10">
        <v>0.15</v>
      </c>
      <c r="R10" s="2">
        <v>255000</v>
      </c>
    </row>
    <row r="11" spans="1:18" x14ac:dyDescent="0.25">
      <c r="A11" t="s">
        <v>55</v>
      </c>
      <c r="B11" s="1">
        <v>45365</v>
      </c>
      <c r="C11" s="1" t="s">
        <v>56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30</v>
      </c>
      <c r="J11" t="s">
        <v>31</v>
      </c>
      <c r="K11" t="s">
        <v>32</v>
      </c>
      <c r="L11" t="s">
        <v>23</v>
      </c>
      <c r="M11" t="str">
        <f>INDEX( dim_segment!$A$2:$A$5,MATCH(L11,  dim_segment!$B$2:$B$5, 0))</f>
        <v>SEG001</v>
      </c>
      <c r="N11" t="s">
        <v>33</v>
      </c>
      <c r="O11" s="2">
        <v>4</v>
      </c>
      <c r="P11" s="2">
        <v>60000</v>
      </c>
      <c r="Q11">
        <v>0.15</v>
      </c>
      <c r="R11" s="2">
        <v>204000</v>
      </c>
    </row>
    <row r="12" spans="1:18" x14ac:dyDescent="0.25">
      <c r="A12" t="s">
        <v>57</v>
      </c>
      <c r="B12" s="1">
        <v>45352</v>
      </c>
      <c r="C12" s="1" t="s">
        <v>56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40</v>
      </c>
      <c r="J12" t="s">
        <v>41</v>
      </c>
      <c r="K12" t="s">
        <v>42</v>
      </c>
      <c r="L12" t="s">
        <v>43</v>
      </c>
      <c r="M12" t="str">
        <f>INDEX( dim_segment!$A$2:$A$5,MATCH(L12,  dim_segment!$B$2:$B$5, 0))</f>
        <v>SEG004</v>
      </c>
      <c r="N12" t="s">
        <v>37</v>
      </c>
      <c r="O12" s="2">
        <v>2</v>
      </c>
      <c r="P12" s="2">
        <v>85000</v>
      </c>
      <c r="Q12">
        <v>0.1</v>
      </c>
      <c r="R12" s="2">
        <v>153000</v>
      </c>
    </row>
    <row r="13" spans="1:18" x14ac:dyDescent="0.25">
      <c r="A13" t="s">
        <v>58</v>
      </c>
      <c r="B13" s="1">
        <v>45377</v>
      </c>
      <c r="C13" s="1" t="s">
        <v>56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30</v>
      </c>
      <c r="J13" t="s">
        <v>31</v>
      </c>
      <c r="K13" t="s">
        <v>32</v>
      </c>
      <c r="L13" t="s">
        <v>23</v>
      </c>
      <c r="M13" t="str">
        <f>INDEX( dim_segment!$A$2:$A$5,MATCH(L13,  dim_segment!$B$2:$B$5, 0))</f>
        <v>SEG001</v>
      </c>
      <c r="N13" t="s">
        <v>28</v>
      </c>
      <c r="O13" s="2">
        <v>5</v>
      </c>
      <c r="P13" s="2">
        <v>60000</v>
      </c>
      <c r="Q13">
        <v>0.11</v>
      </c>
      <c r="R13" s="2">
        <v>267000</v>
      </c>
    </row>
    <row r="14" spans="1:18" x14ac:dyDescent="0.25">
      <c r="A14" t="s">
        <v>59</v>
      </c>
      <c r="B14" s="1">
        <v>45378</v>
      </c>
      <c r="C14" s="1" t="s">
        <v>56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60</v>
      </c>
      <c r="J14" t="s">
        <v>61</v>
      </c>
      <c r="K14" t="s">
        <v>26</v>
      </c>
      <c r="L14" t="s">
        <v>27</v>
      </c>
      <c r="M14" t="str">
        <f>INDEX( dim_segment!$A$2:$A$5,MATCH(L14,  dim_segment!$B$2:$B$5, 0))</f>
        <v>SEG002</v>
      </c>
      <c r="N14" t="s">
        <v>37</v>
      </c>
      <c r="O14" s="2">
        <v>3</v>
      </c>
      <c r="P14" s="2">
        <v>95000</v>
      </c>
      <c r="Q14">
        <v>0.13</v>
      </c>
      <c r="R14" s="2">
        <v>248000</v>
      </c>
    </row>
    <row r="15" spans="1:18" x14ac:dyDescent="0.25">
      <c r="A15" t="s">
        <v>62</v>
      </c>
      <c r="B15" s="1">
        <v>45379</v>
      </c>
      <c r="C15" s="1" t="s">
        <v>56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60</v>
      </c>
      <c r="J15" t="s">
        <v>61</v>
      </c>
      <c r="K15" t="s">
        <v>26</v>
      </c>
      <c r="L15" t="s">
        <v>27</v>
      </c>
      <c r="M15" t="str">
        <f>INDEX( dim_segment!$A$2:$A$5,MATCH(L15,  dim_segment!$B$2:$B$5, 0))</f>
        <v>SEG002</v>
      </c>
      <c r="N15" t="s">
        <v>33</v>
      </c>
      <c r="O15" s="2">
        <v>1</v>
      </c>
      <c r="P15" s="2">
        <v>95000</v>
      </c>
      <c r="Q15">
        <v>7.0000000000000007E-2</v>
      </c>
      <c r="R15" s="2">
        <v>88400</v>
      </c>
    </row>
    <row r="16" spans="1:18" x14ac:dyDescent="0.25">
      <c r="A16" t="s">
        <v>63</v>
      </c>
      <c r="B16" s="1">
        <v>45361</v>
      </c>
      <c r="C16" s="1" t="s">
        <v>56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40</v>
      </c>
      <c r="J16" t="s">
        <v>41</v>
      </c>
      <c r="K16" t="s">
        <v>42</v>
      </c>
      <c r="L16" t="s">
        <v>27</v>
      </c>
      <c r="M16" t="str">
        <f>INDEX( dim_segment!$A$2:$A$5,MATCH(L16,  dim_segment!$B$2:$B$5, 0))</f>
        <v>SEG002</v>
      </c>
      <c r="N16" t="s">
        <v>28</v>
      </c>
      <c r="O16" s="2">
        <v>1</v>
      </c>
      <c r="P16" s="2">
        <v>85000</v>
      </c>
      <c r="Q16">
        <v>7.0000000000000007E-2</v>
      </c>
      <c r="R16" s="2">
        <v>79000</v>
      </c>
    </row>
    <row r="17" spans="1:18" x14ac:dyDescent="0.25">
      <c r="A17" t="s">
        <v>64</v>
      </c>
      <c r="B17" s="1">
        <v>45369</v>
      </c>
      <c r="C17" s="1" t="s">
        <v>56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65</v>
      </c>
      <c r="M17" t="str">
        <f>INDEX( dim_segment!$A$2:$A$5,MATCH(L17,  dim_segment!$B$2:$B$5, 0))</f>
        <v>SEG003</v>
      </c>
      <c r="N17" t="s">
        <v>33</v>
      </c>
      <c r="O17" s="2">
        <v>2</v>
      </c>
      <c r="P17" s="2">
        <v>75000</v>
      </c>
      <c r="Q17">
        <v>0.19</v>
      </c>
      <c r="R17" s="2">
        <v>121500</v>
      </c>
    </row>
    <row r="18" spans="1:18" x14ac:dyDescent="0.25">
      <c r="A18" t="s">
        <v>66</v>
      </c>
      <c r="B18" s="1">
        <v>45409</v>
      </c>
      <c r="C18" s="1" t="s">
        <v>67</v>
      </c>
      <c r="D18" t="s">
        <v>68</v>
      </c>
      <c r="E18" t="s">
        <v>20</v>
      </c>
      <c r="F18" t="s">
        <v>21</v>
      </c>
      <c r="G18" t="s">
        <v>22</v>
      </c>
      <c r="H18" t="s">
        <v>23</v>
      </c>
      <c r="I18" t="s">
        <v>35</v>
      </c>
      <c r="J18" t="s">
        <v>36</v>
      </c>
      <c r="K18" t="s">
        <v>32</v>
      </c>
      <c r="L18" t="s">
        <v>65</v>
      </c>
      <c r="M18" t="str">
        <f>INDEX( dim_segment!$A$2:$A$5,MATCH(L18,  dim_segment!$B$2:$B$5, 0))</f>
        <v>SEG003</v>
      </c>
      <c r="N18" t="s">
        <v>28</v>
      </c>
      <c r="O18" s="2">
        <v>3</v>
      </c>
      <c r="P18" s="2">
        <v>45000</v>
      </c>
      <c r="Q18">
        <v>7.0000000000000007E-2</v>
      </c>
      <c r="R18" s="2">
        <v>125500</v>
      </c>
    </row>
    <row r="19" spans="1:18" x14ac:dyDescent="0.25">
      <c r="A19" t="s">
        <v>69</v>
      </c>
      <c r="B19" s="1">
        <v>45401</v>
      </c>
      <c r="C19" s="1" t="s">
        <v>67</v>
      </c>
      <c r="D19" t="s">
        <v>68</v>
      </c>
      <c r="E19" t="s">
        <v>20</v>
      </c>
      <c r="F19" t="s">
        <v>21</v>
      </c>
      <c r="G19" t="s">
        <v>22</v>
      </c>
      <c r="H19" t="s">
        <v>23</v>
      </c>
      <c r="I19" t="s">
        <v>40</v>
      </c>
      <c r="J19" t="s">
        <v>41</v>
      </c>
      <c r="K19" t="s">
        <v>42</v>
      </c>
      <c r="L19" t="s">
        <v>23</v>
      </c>
      <c r="M19" t="str">
        <f>INDEX( dim_segment!$A$2:$A$5,MATCH(L19,  dim_segment!$B$2:$B$5, 0))</f>
        <v>SEG001</v>
      </c>
      <c r="N19" t="s">
        <v>37</v>
      </c>
      <c r="O19" s="2">
        <v>5</v>
      </c>
      <c r="P19" s="2">
        <v>85000</v>
      </c>
      <c r="Q19">
        <v>0.09</v>
      </c>
      <c r="R19" s="2">
        <v>386800</v>
      </c>
    </row>
    <row r="20" spans="1:18" x14ac:dyDescent="0.25">
      <c r="A20" t="s">
        <v>70</v>
      </c>
      <c r="B20" s="1">
        <v>45409</v>
      </c>
      <c r="C20" s="1" t="s">
        <v>67</v>
      </c>
      <c r="D20" t="s">
        <v>68</v>
      </c>
      <c r="E20" t="s">
        <v>20</v>
      </c>
      <c r="F20" t="s">
        <v>21</v>
      </c>
      <c r="G20" t="s">
        <v>22</v>
      </c>
      <c r="H20" t="s">
        <v>23</v>
      </c>
      <c r="I20" t="s">
        <v>35</v>
      </c>
      <c r="J20" t="s">
        <v>36</v>
      </c>
      <c r="K20" t="s">
        <v>32</v>
      </c>
      <c r="L20" t="s">
        <v>43</v>
      </c>
      <c r="M20" t="str">
        <f>INDEX( dim_segment!$A$2:$A$5,MATCH(L20,  dim_segment!$B$2:$B$5, 0))</f>
        <v>SEG004</v>
      </c>
      <c r="N20" t="s">
        <v>33</v>
      </c>
      <c r="O20" s="2">
        <v>4</v>
      </c>
      <c r="P20" s="2">
        <v>45000</v>
      </c>
      <c r="Q20">
        <v>0.11</v>
      </c>
      <c r="R20" s="2">
        <v>160200</v>
      </c>
    </row>
    <row r="21" spans="1:18" x14ac:dyDescent="0.25">
      <c r="A21" t="s">
        <v>71</v>
      </c>
      <c r="B21" s="1">
        <v>45388</v>
      </c>
      <c r="C21" s="1" t="s">
        <v>67</v>
      </c>
      <c r="D21" t="s">
        <v>68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23</v>
      </c>
      <c r="M21" t="str">
        <f>INDEX( dim_segment!$A$2:$A$5,MATCH(L21,  dim_segment!$B$2:$B$5, 0))</f>
        <v>SEG001</v>
      </c>
      <c r="N21" t="s">
        <v>37</v>
      </c>
      <c r="O21" s="2">
        <v>3</v>
      </c>
      <c r="P21" s="2">
        <v>75000</v>
      </c>
      <c r="Q21">
        <v>0.13</v>
      </c>
      <c r="R21" s="2">
        <v>195800</v>
      </c>
    </row>
    <row r="22" spans="1:18" x14ac:dyDescent="0.25">
      <c r="A22" t="s">
        <v>72</v>
      </c>
      <c r="B22" s="1">
        <v>45410</v>
      </c>
      <c r="C22" s="1" t="s">
        <v>67</v>
      </c>
      <c r="D22" t="s">
        <v>68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tr">
        <f>INDEX( dim_segment!$A$2:$A$5,MATCH(L22,  dim_segment!$B$2:$B$5, 0))</f>
        <v>SEG002</v>
      </c>
      <c r="N22" t="s">
        <v>37</v>
      </c>
      <c r="O22" s="2">
        <v>4</v>
      </c>
      <c r="P22" s="2">
        <v>75000</v>
      </c>
      <c r="Q22">
        <v>0.08</v>
      </c>
      <c r="R22" s="2">
        <v>276000</v>
      </c>
    </row>
    <row r="23" spans="1:18" x14ac:dyDescent="0.25">
      <c r="A23" t="s">
        <v>73</v>
      </c>
      <c r="B23" s="1">
        <v>45408</v>
      </c>
      <c r="C23" s="1" t="s">
        <v>67</v>
      </c>
      <c r="D23" t="s">
        <v>68</v>
      </c>
      <c r="E23" t="s">
        <v>20</v>
      </c>
      <c r="F23" t="s">
        <v>21</v>
      </c>
      <c r="G23" t="s">
        <v>22</v>
      </c>
      <c r="H23" t="s">
        <v>23</v>
      </c>
      <c r="I23" t="s">
        <v>40</v>
      </c>
      <c r="J23" t="s">
        <v>41</v>
      </c>
      <c r="K23" t="s">
        <v>42</v>
      </c>
      <c r="L23" t="s">
        <v>27</v>
      </c>
      <c r="M23" t="str">
        <f>INDEX( dim_segment!$A$2:$A$5,MATCH(L23,  dim_segment!$B$2:$B$5, 0))</f>
        <v>SEG002</v>
      </c>
      <c r="N23" t="s">
        <v>33</v>
      </c>
      <c r="O23" s="2">
        <v>3</v>
      </c>
      <c r="P23" s="2">
        <v>85000</v>
      </c>
      <c r="Q23">
        <v>0.08</v>
      </c>
      <c r="R23" s="2">
        <v>234600</v>
      </c>
    </row>
    <row r="24" spans="1:18" x14ac:dyDescent="0.25">
      <c r="A24" t="s">
        <v>74</v>
      </c>
      <c r="B24" s="1">
        <v>45385</v>
      </c>
      <c r="C24" s="1" t="s">
        <v>67</v>
      </c>
      <c r="D24" t="s">
        <v>68</v>
      </c>
      <c r="E24" t="s">
        <v>20</v>
      </c>
      <c r="F24" t="s">
        <v>21</v>
      </c>
      <c r="G24" t="s">
        <v>22</v>
      </c>
      <c r="H24" t="s">
        <v>23</v>
      </c>
      <c r="I24" t="s">
        <v>75</v>
      </c>
      <c r="J24" t="s">
        <v>76</v>
      </c>
      <c r="K24" t="s">
        <v>49</v>
      </c>
      <c r="L24" t="s">
        <v>43</v>
      </c>
      <c r="M24" t="str">
        <f>INDEX( dim_segment!$A$2:$A$5,MATCH(L24,  dim_segment!$B$2:$B$5, 0))</f>
        <v>SEG004</v>
      </c>
      <c r="N24" t="s">
        <v>33</v>
      </c>
      <c r="O24" s="2">
        <v>4</v>
      </c>
      <c r="P24" s="2">
        <v>120000</v>
      </c>
      <c r="Q24">
        <v>0.16</v>
      </c>
      <c r="R24" s="2">
        <v>403200</v>
      </c>
    </row>
    <row r="25" spans="1:18" x14ac:dyDescent="0.25">
      <c r="A25" t="s">
        <v>77</v>
      </c>
      <c r="B25" s="1">
        <v>45434</v>
      </c>
      <c r="C25" s="1" t="s">
        <v>78</v>
      </c>
      <c r="D25" t="s">
        <v>68</v>
      </c>
      <c r="E25" t="s">
        <v>20</v>
      </c>
      <c r="F25" t="s">
        <v>21</v>
      </c>
      <c r="G25" t="s">
        <v>22</v>
      </c>
      <c r="H25" t="s">
        <v>23</v>
      </c>
      <c r="I25" t="s">
        <v>75</v>
      </c>
      <c r="J25" t="s">
        <v>76</v>
      </c>
      <c r="K25" t="s">
        <v>49</v>
      </c>
      <c r="L25" t="s">
        <v>65</v>
      </c>
      <c r="M25" t="str">
        <f>INDEX( dim_segment!$A$2:$A$5,MATCH(L25,  dim_segment!$B$2:$B$5, 0))</f>
        <v>SEG003</v>
      </c>
      <c r="N25" t="s">
        <v>33</v>
      </c>
      <c r="O25" s="2">
        <v>1</v>
      </c>
      <c r="P25" s="2">
        <v>120000</v>
      </c>
      <c r="Q25">
        <v>0.13</v>
      </c>
      <c r="R25" s="2">
        <v>104400</v>
      </c>
    </row>
    <row r="26" spans="1:18" x14ac:dyDescent="0.25">
      <c r="A26" t="s">
        <v>79</v>
      </c>
      <c r="B26" s="1">
        <v>45422</v>
      </c>
      <c r="C26" s="1" t="s">
        <v>78</v>
      </c>
      <c r="D26" t="s">
        <v>68</v>
      </c>
      <c r="E26" t="s">
        <v>20</v>
      </c>
      <c r="F26" t="s">
        <v>21</v>
      </c>
      <c r="G26" t="s">
        <v>22</v>
      </c>
      <c r="H26" t="s">
        <v>23</v>
      </c>
      <c r="I26" t="s">
        <v>30</v>
      </c>
      <c r="J26" t="s">
        <v>31</v>
      </c>
      <c r="K26" t="s">
        <v>32</v>
      </c>
      <c r="L26" t="s">
        <v>43</v>
      </c>
      <c r="M26" t="str">
        <f>INDEX( dim_segment!$A$2:$A$5,MATCH(L26,  dim_segment!$B$2:$B$5, 0))</f>
        <v>SEG004</v>
      </c>
      <c r="N26" t="s">
        <v>28</v>
      </c>
      <c r="O26" s="2">
        <v>3</v>
      </c>
      <c r="P26" s="2">
        <v>60000</v>
      </c>
      <c r="Q26">
        <v>0.11</v>
      </c>
      <c r="R26" s="2">
        <v>160200</v>
      </c>
    </row>
    <row r="27" spans="1:18" x14ac:dyDescent="0.25">
      <c r="A27" t="s">
        <v>80</v>
      </c>
      <c r="B27" s="1">
        <v>45432</v>
      </c>
      <c r="C27" s="1" t="s">
        <v>78</v>
      </c>
      <c r="D27" t="s">
        <v>68</v>
      </c>
      <c r="E27" t="s">
        <v>20</v>
      </c>
      <c r="F27" t="s">
        <v>21</v>
      </c>
      <c r="G27" t="s">
        <v>22</v>
      </c>
      <c r="H27" t="s">
        <v>23</v>
      </c>
      <c r="I27" t="s">
        <v>75</v>
      </c>
      <c r="J27" t="s">
        <v>76</v>
      </c>
      <c r="K27" t="s">
        <v>49</v>
      </c>
      <c r="L27" t="s">
        <v>43</v>
      </c>
      <c r="M27" t="str">
        <f>INDEX( dim_segment!$A$2:$A$5,MATCH(L27,  dim_segment!$B$2:$B$5, 0))</f>
        <v>SEG004</v>
      </c>
      <c r="N27" t="s">
        <v>28</v>
      </c>
      <c r="O27" s="2">
        <v>4</v>
      </c>
      <c r="P27" s="2">
        <v>120000</v>
      </c>
      <c r="Q27">
        <v>0.15</v>
      </c>
      <c r="R27" s="2">
        <v>408000</v>
      </c>
    </row>
    <row r="28" spans="1:18" x14ac:dyDescent="0.25">
      <c r="A28" t="s">
        <v>81</v>
      </c>
      <c r="B28" s="1">
        <v>45424</v>
      </c>
      <c r="C28" s="1" t="s">
        <v>78</v>
      </c>
      <c r="D28" t="s">
        <v>68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23</v>
      </c>
      <c r="M28" t="str">
        <f>INDEX( dim_segment!$A$2:$A$5,MATCH(L28,  dim_segment!$B$2:$B$5, 0))</f>
        <v>SEG001</v>
      </c>
      <c r="N28" t="s">
        <v>37</v>
      </c>
      <c r="O28" s="2">
        <v>3</v>
      </c>
      <c r="P28" s="2">
        <v>75000</v>
      </c>
      <c r="Q28">
        <v>0.18</v>
      </c>
      <c r="R28" s="2">
        <v>184500</v>
      </c>
    </row>
    <row r="29" spans="1:18" x14ac:dyDescent="0.25">
      <c r="A29" t="s">
        <v>82</v>
      </c>
      <c r="B29" s="1">
        <v>45434</v>
      </c>
      <c r="C29" s="1" t="s">
        <v>78</v>
      </c>
      <c r="D29" t="s">
        <v>68</v>
      </c>
      <c r="E29" t="s">
        <v>20</v>
      </c>
      <c r="F29" t="s">
        <v>21</v>
      </c>
      <c r="G29" t="s">
        <v>22</v>
      </c>
      <c r="H29" t="s">
        <v>23</v>
      </c>
      <c r="I29" t="s">
        <v>75</v>
      </c>
      <c r="J29" t="s">
        <v>76</v>
      </c>
      <c r="K29" t="s">
        <v>49</v>
      </c>
      <c r="L29" t="s">
        <v>27</v>
      </c>
      <c r="M29" t="str">
        <f>INDEX( dim_segment!$A$2:$A$5,MATCH(L29,  dim_segment!$B$2:$B$5, 0))</f>
        <v>SEG002</v>
      </c>
      <c r="N29" t="s">
        <v>37</v>
      </c>
      <c r="O29" s="2">
        <v>2</v>
      </c>
      <c r="P29" s="2">
        <v>120000</v>
      </c>
      <c r="Q29">
        <v>0.18</v>
      </c>
      <c r="R29" s="2">
        <v>196800</v>
      </c>
    </row>
    <row r="30" spans="1:18" x14ac:dyDescent="0.25">
      <c r="A30" t="s">
        <v>83</v>
      </c>
      <c r="B30" s="1">
        <v>45471</v>
      </c>
      <c r="C30" s="1" t="s">
        <v>84</v>
      </c>
      <c r="D30" t="s">
        <v>68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65</v>
      </c>
      <c r="M30" t="str">
        <f>INDEX( dim_segment!$A$2:$A$5,MATCH(L30,  dim_segment!$B$2:$B$5, 0))</f>
        <v>SEG003</v>
      </c>
      <c r="N30" t="s">
        <v>33</v>
      </c>
      <c r="O30" s="2">
        <v>2</v>
      </c>
      <c r="P30" s="2">
        <v>75000</v>
      </c>
      <c r="Q30">
        <v>0.11</v>
      </c>
      <c r="R30" s="2">
        <v>133500</v>
      </c>
    </row>
    <row r="31" spans="1:18" x14ac:dyDescent="0.25">
      <c r="A31" t="s">
        <v>85</v>
      </c>
      <c r="B31" s="1">
        <v>45450</v>
      </c>
      <c r="C31" s="1" t="s">
        <v>84</v>
      </c>
      <c r="D31" t="s">
        <v>68</v>
      </c>
      <c r="E31" t="s">
        <v>20</v>
      </c>
      <c r="F31" t="s">
        <v>21</v>
      </c>
      <c r="G31" t="s">
        <v>22</v>
      </c>
      <c r="H31" t="s">
        <v>23</v>
      </c>
      <c r="I31" t="s">
        <v>51</v>
      </c>
      <c r="J31" t="s">
        <v>52</v>
      </c>
      <c r="K31" t="s">
        <v>42</v>
      </c>
      <c r="L31" t="s">
        <v>23</v>
      </c>
      <c r="M31" t="str">
        <f>INDEX( dim_segment!$A$2:$A$5,MATCH(L31,  dim_segment!$B$2:$B$5, 0))</f>
        <v>SEG001</v>
      </c>
      <c r="N31" t="s">
        <v>37</v>
      </c>
      <c r="O31" s="2">
        <v>1</v>
      </c>
      <c r="P31" s="2">
        <v>150000</v>
      </c>
      <c r="Q31">
        <v>0.13</v>
      </c>
      <c r="R31" s="2">
        <v>130500</v>
      </c>
    </row>
    <row r="32" spans="1:18" x14ac:dyDescent="0.25">
      <c r="A32" t="s">
        <v>86</v>
      </c>
      <c r="B32" s="1">
        <v>45458</v>
      </c>
      <c r="C32" s="1" t="s">
        <v>84</v>
      </c>
      <c r="D32" t="s">
        <v>68</v>
      </c>
      <c r="E32" t="s">
        <v>20</v>
      </c>
      <c r="F32" t="s">
        <v>21</v>
      </c>
      <c r="G32" t="s">
        <v>22</v>
      </c>
      <c r="H32" t="s">
        <v>23</v>
      </c>
      <c r="I32" t="s">
        <v>30</v>
      </c>
      <c r="J32" t="s">
        <v>31</v>
      </c>
      <c r="K32" t="s">
        <v>32</v>
      </c>
      <c r="L32" t="s">
        <v>27</v>
      </c>
      <c r="M32" t="str">
        <f>INDEX( dim_segment!$A$2:$A$5,MATCH(L32,  dim_segment!$B$2:$B$5, 0))</f>
        <v>SEG002</v>
      </c>
      <c r="N32" t="s">
        <v>37</v>
      </c>
      <c r="O32" s="2">
        <v>5</v>
      </c>
      <c r="P32" s="2">
        <v>60000</v>
      </c>
      <c r="Q32">
        <v>0.17</v>
      </c>
      <c r="R32" s="2">
        <v>249000</v>
      </c>
    </row>
    <row r="33" spans="1:18" x14ac:dyDescent="0.25">
      <c r="A33" t="s">
        <v>87</v>
      </c>
      <c r="B33" s="1">
        <v>45464</v>
      </c>
      <c r="C33" s="1" t="s">
        <v>84</v>
      </c>
      <c r="D33" t="s">
        <v>68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65</v>
      </c>
      <c r="M33" t="str">
        <f>INDEX( dim_segment!$A$2:$A$5,MATCH(L33,  dim_segment!$B$2:$B$5, 0))</f>
        <v>SEG003</v>
      </c>
      <c r="N33" t="s">
        <v>28</v>
      </c>
      <c r="O33" s="2">
        <v>4</v>
      </c>
      <c r="P33" s="2">
        <v>75000</v>
      </c>
      <c r="Q33">
        <v>0.13</v>
      </c>
      <c r="R33" s="2">
        <v>261000</v>
      </c>
    </row>
    <row r="34" spans="1:18" x14ac:dyDescent="0.25">
      <c r="A34" t="s">
        <v>88</v>
      </c>
      <c r="B34" s="1">
        <v>45446</v>
      </c>
      <c r="C34" s="1" t="s">
        <v>84</v>
      </c>
      <c r="D34" t="s">
        <v>68</v>
      </c>
      <c r="E34" t="s">
        <v>20</v>
      </c>
      <c r="F34" t="s">
        <v>21</v>
      </c>
      <c r="G34" t="s">
        <v>22</v>
      </c>
      <c r="H34" t="s">
        <v>23</v>
      </c>
      <c r="I34" t="s">
        <v>51</v>
      </c>
      <c r="J34" t="s">
        <v>52</v>
      </c>
      <c r="K34" t="s">
        <v>42</v>
      </c>
      <c r="L34" t="s">
        <v>23</v>
      </c>
      <c r="M34" t="str">
        <f>INDEX( dim_segment!$A$2:$A$5,MATCH(L34,  dim_segment!$B$2:$B$5, 0))</f>
        <v>SEG001</v>
      </c>
      <c r="N34" t="s">
        <v>54</v>
      </c>
      <c r="O34" s="2">
        <v>1</v>
      </c>
      <c r="P34" s="2">
        <v>150000</v>
      </c>
      <c r="Q34">
        <v>0.17</v>
      </c>
      <c r="R34" s="2">
        <v>124500</v>
      </c>
    </row>
    <row r="35" spans="1:18" x14ac:dyDescent="0.25">
      <c r="A35" t="s">
        <v>89</v>
      </c>
      <c r="B35" s="1">
        <v>45461</v>
      </c>
      <c r="C35" s="1" t="s">
        <v>84</v>
      </c>
      <c r="D35" t="s">
        <v>68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65</v>
      </c>
      <c r="M35" t="str">
        <f>INDEX( dim_segment!$A$2:$A$5,MATCH(L35,  dim_segment!$B$2:$B$5, 0))</f>
        <v>SEG003</v>
      </c>
      <c r="N35" t="s">
        <v>28</v>
      </c>
      <c r="O35" s="2">
        <v>3</v>
      </c>
      <c r="P35" s="2">
        <v>75000</v>
      </c>
      <c r="Q35">
        <v>0.11</v>
      </c>
      <c r="R35" s="2">
        <v>200200</v>
      </c>
    </row>
    <row r="36" spans="1:18" x14ac:dyDescent="0.25">
      <c r="A36" t="s">
        <v>90</v>
      </c>
      <c r="B36" s="1">
        <v>45449</v>
      </c>
      <c r="C36" s="1" t="s">
        <v>84</v>
      </c>
      <c r="D36" t="s">
        <v>68</v>
      </c>
      <c r="E36" t="s">
        <v>20</v>
      </c>
      <c r="F36" t="s">
        <v>21</v>
      </c>
      <c r="G36" t="s">
        <v>22</v>
      </c>
      <c r="H36" t="s">
        <v>23</v>
      </c>
      <c r="I36" t="s">
        <v>40</v>
      </c>
      <c r="J36" t="s">
        <v>41</v>
      </c>
      <c r="K36" t="s">
        <v>42</v>
      </c>
      <c r="L36" t="s">
        <v>65</v>
      </c>
      <c r="M36" t="str">
        <f>INDEX( dim_segment!$A$2:$A$5,MATCH(L36,  dim_segment!$B$2:$B$5, 0))</f>
        <v>SEG003</v>
      </c>
      <c r="N36" t="s">
        <v>33</v>
      </c>
      <c r="O36" s="2">
        <v>4</v>
      </c>
      <c r="P36" s="2">
        <v>85000</v>
      </c>
      <c r="Q36">
        <v>0.11</v>
      </c>
      <c r="R36" s="2">
        <v>302600</v>
      </c>
    </row>
    <row r="37" spans="1:18" x14ac:dyDescent="0.25">
      <c r="A37" t="s">
        <v>91</v>
      </c>
      <c r="B37" s="1">
        <v>45488</v>
      </c>
      <c r="C37" s="1" t="s">
        <v>92</v>
      </c>
      <c r="D37" t="s">
        <v>93</v>
      </c>
      <c r="E37" t="s">
        <v>20</v>
      </c>
      <c r="F37" t="s">
        <v>21</v>
      </c>
      <c r="G37" t="s">
        <v>22</v>
      </c>
      <c r="H37" t="s">
        <v>23</v>
      </c>
      <c r="I37" t="s">
        <v>47</v>
      </c>
      <c r="J37" t="s">
        <v>48</v>
      </c>
      <c r="K37" t="s">
        <v>49</v>
      </c>
      <c r="L37" t="s">
        <v>43</v>
      </c>
      <c r="M37" t="str">
        <f>INDEX( dim_segment!$A$2:$A$5,MATCH(L37,  dim_segment!$B$2:$B$5, 0))</f>
        <v>SEG004</v>
      </c>
      <c r="N37" t="s">
        <v>33</v>
      </c>
      <c r="O37" s="2">
        <v>2</v>
      </c>
      <c r="P37" s="2">
        <v>200000</v>
      </c>
      <c r="Q37">
        <v>0.18</v>
      </c>
      <c r="R37" s="2">
        <v>328000</v>
      </c>
    </row>
    <row r="38" spans="1:18" x14ac:dyDescent="0.25">
      <c r="A38" t="s">
        <v>94</v>
      </c>
      <c r="B38" s="1">
        <v>45482</v>
      </c>
      <c r="C38" s="1" t="s">
        <v>92</v>
      </c>
      <c r="D38" t="s">
        <v>93</v>
      </c>
      <c r="E38" t="s">
        <v>20</v>
      </c>
      <c r="F38" t="s">
        <v>21</v>
      </c>
      <c r="G38" t="s">
        <v>22</v>
      </c>
      <c r="H38" t="s">
        <v>23</v>
      </c>
      <c r="I38" t="s">
        <v>30</v>
      </c>
      <c r="J38" t="s">
        <v>31</v>
      </c>
      <c r="K38" t="s">
        <v>32</v>
      </c>
      <c r="L38" t="s">
        <v>43</v>
      </c>
      <c r="M38" t="str">
        <f>INDEX( dim_segment!$A$2:$A$5,MATCH(L38,  dim_segment!$B$2:$B$5, 0))</f>
        <v>SEG004</v>
      </c>
      <c r="N38" t="s">
        <v>33</v>
      </c>
      <c r="O38" s="2">
        <v>3</v>
      </c>
      <c r="P38" s="2">
        <v>60000</v>
      </c>
      <c r="Q38">
        <v>0.09</v>
      </c>
      <c r="R38" s="2">
        <v>163800</v>
      </c>
    </row>
    <row r="39" spans="1:18" x14ac:dyDescent="0.25">
      <c r="A39" t="s">
        <v>95</v>
      </c>
      <c r="B39" s="1">
        <v>45494</v>
      </c>
      <c r="C39" s="1" t="s">
        <v>92</v>
      </c>
      <c r="D39" t="s">
        <v>93</v>
      </c>
      <c r="E39" t="s">
        <v>20</v>
      </c>
      <c r="F39" t="s">
        <v>21</v>
      </c>
      <c r="G39" t="s">
        <v>22</v>
      </c>
      <c r="H39" t="s">
        <v>23</v>
      </c>
      <c r="I39" t="s">
        <v>30</v>
      </c>
      <c r="J39" t="s">
        <v>31</v>
      </c>
      <c r="K39" t="s">
        <v>32</v>
      </c>
      <c r="L39" t="s">
        <v>43</v>
      </c>
      <c r="M39" t="str">
        <f>INDEX( dim_segment!$A$2:$A$5,MATCH(L39,  dim_segment!$B$2:$B$5, 0))</f>
        <v>SEG004</v>
      </c>
      <c r="N39" t="s">
        <v>28</v>
      </c>
      <c r="O39" s="2">
        <v>4</v>
      </c>
      <c r="P39" s="2">
        <v>60000</v>
      </c>
      <c r="Q39">
        <v>0.14000000000000001</v>
      </c>
      <c r="R39" s="2">
        <v>206400</v>
      </c>
    </row>
    <row r="40" spans="1:18" x14ac:dyDescent="0.25">
      <c r="A40" t="s">
        <v>96</v>
      </c>
      <c r="B40" s="1">
        <v>45488</v>
      </c>
      <c r="C40" s="1" t="s">
        <v>92</v>
      </c>
      <c r="D40" t="s">
        <v>93</v>
      </c>
      <c r="E40" t="s">
        <v>20</v>
      </c>
      <c r="F40" t="s">
        <v>21</v>
      </c>
      <c r="G40" t="s">
        <v>22</v>
      </c>
      <c r="H40" t="s">
        <v>23</v>
      </c>
      <c r="I40" t="s">
        <v>40</v>
      </c>
      <c r="J40" t="s">
        <v>41</v>
      </c>
      <c r="K40" t="s">
        <v>42</v>
      </c>
      <c r="L40" t="s">
        <v>23</v>
      </c>
      <c r="M40" t="str">
        <f>INDEX( dim_segment!$A$2:$A$5,MATCH(L40,  dim_segment!$B$2:$B$5, 0))</f>
        <v>SEG001</v>
      </c>
      <c r="N40" t="s">
        <v>54</v>
      </c>
      <c r="O40" s="2">
        <v>5</v>
      </c>
      <c r="P40" s="2">
        <v>85000</v>
      </c>
      <c r="Q40">
        <v>0.09</v>
      </c>
      <c r="R40" s="2">
        <v>386800</v>
      </c>
    </row>
    <row r="41" spans="1:18" x14ac:dyDescent="0.25">
      <c r="A41" t="s">
        <v>97</v>
      </c>
      <c r="B41" s="1">
        <v>45494</v>
      </c>
      <c r="C41" s="1" t="s">
        <v>92</v>
      </c>
      <c r="D41" t="s">
        <v>93</v>
      </c>
      <c r="E41" t="s">
        <v>20</v>
      </c>
      <c r="F41" t="s">
        <v>21</v>
      </c>
      <c r="G41" t="s">
        <v>22</v>
      </c>
      <c r="H41" t="s">
        <v>23</v>
      </c>
      <c r="I41" t="s">
        <v>47</v>
      </c>
      <c r="J41" t="s">
        <v>48</v>
      </c>
      <c r="K41" t="s">
        <v>49</v>
      </c>
      <c r="L41" t="s">
        <v>23</v>
      </c>
      <c r="M41" t="str">
        <f>INDEX( dim_segment!$A$2:$A$5,MATCH(L41,  dim_segment!$B$2:$B$5, 0))</f>
        <v>SEG001</v>
      </c>
      <c r="N41" t="s">
        <v>37</v>
      </c>
      <c r="O41" s="2">
        <v>4</v>
      </c>
      <c r="P41" s="2">
        <v>200000</v>
      </c>
      <c r="Q41">
        <v>0.06</v>
      </c>
      <c r="R41" s="2">
        <v>752000</v>
      </c>
    </row>
    <row r="42" spans="1:18" x14ac:dyDescent="0.25">
      <c r="A42" t="s">
        <v>98</v>
      </c>
      <c r="B42" s="1">
        <v>45482</v>
      </c>
      <c r="C42" s="1" t="s">
        <v>92</v>
      </c>
      <c r="D42" t="s">
        <v>93</v>
      </c>
      <c r="E42" t="s">
        <v>20</v>
      </c>
      <c r="F42" t="s">
        <v>21</v>
      </c>
      <c r="G42" t="s">
        <v>22</v>
      </c>
      <c r="H42" t="s">
        <v>23</v>
      </c>
      <c r="I42" t="s">
        <v>51</v>
      </c>
      <c r="J42" t="s">
        <v>52</v>
      </c>
      <c r="K42" t="s">
        <v>42</v>
      </c>
      <c r="L42" t="s">
        <v>27</v>
      </c>
      <c r="M42" t="str">
        <f>INDEX( dim_segment!$A$2:$A$5,MATCH(L42,  dim_segment!$B$2:$B$5, 0))</f>
        <v>SEG002</v>
      </c>
      <c r="N42" t="s">
        <v>28</v>
      </c>
      <c r="O42" s="2">
        <v>5</v>
      </c>
      <c r="P42" s="2">
        <v>150000</v>
      </c>
      <c r="Q42">
        <v>0.1</v>
      </c>
      <c r="R42" s="2">
        <v>675000</v>
      </c>
    </row>
    <row r="43" spans="1:18" x14ac:dyDescent="0.25">
      <c r="A43" t="s">
        <v>99</v>
      </c>
      <c r="B43" s="1">
        <v>45484</v>
      </c>
      <c r="C43" s="1" t="s">
        <v>92</v>
      </c>
      <c r="D43" t="s">
        <v>93</v>
      </c>
      <c r="E43" t="s">
        <v>20</v>
      </c>
      <c r="F43" t="s">
        <v>21</v>
      </c>
      <c r="G43" t="s">
        <v>22</v>
      </c>
      <c r="H43" t="s">
        <v>23</v>
      </c>
      <c r="I43" t="s">
        <v>51</v>
      </c>
      <c r="J43" t="s">
        <v>52</v>
      </c>
      <c r="K43" t="s">
        <v>42</v>
      </c>
      <c r="L43" t="s">
        <v>27</v>
      </c>
      <c r="M43" t="str">
        <f>INDEX( dim_segment!$A$2:$A$5,MATCH(L43,  dim_segment!$B$2:$B$5, 0))</f>
        <v>SEG002</v>
      </c>
      <c r="N43" t="s">
        <v>37</v>
      </c>
      <c r="O43" s="2">
        <v>4</v>
      </c>
      <c r="P43" s="2">
        <v>150000</v>
      </c>
      <c r="Q43">
        <v>0.06</v>
      </c>
      <c r="R43" s="2">
        <v>564000</v>
      </c>
    </row>
    <row r="44" spans="1:18" x14ac:dyDescent="0.25">
      <c r="A44" t="s">
        <v>100</v>
      </c>
      <c r="B44" s="1">
        <v>45498</v>
      </c>
      <c r="C44" s="1" t="s">
        <v>92</v>
      </c>
      <c r="D44" t="s">
        <v>93</v>
      </c>
      <c r="E44" t="s">
        <v>20</v>
      </c>
      <c r="F44" t="s">
        <v>21</v>
      </c>
      <c r="G44" t="s">
        <v>22</v>
      </c>
      <c r="H44" t="s">
        <v>23</v>
      </c>
      <c r="I44" t="s">
        <v>30</v>
      </c>
      <c r="J44" t="s">
        <v>31</v>
      </c>
      <c r="K44" t="s">
        <v>32</v>
      </c>
      <c r="L44" t="s">
        <v>43</v>
      </c>
      <c r="M44" t="str">
        <f>INDEX( dim_segment!$A$2:$A$5,MATCH(L44,  dim_segment!$B$2:$B$5, 0))</f>
        <v>SEG004</v>
      </c>
      <c r="N44" t="s">
        <v>28</v>
      </c>
      <c r="O44" s="2">
        <v>4</v>
      </c>
      <c r="P44" s="2">
        <v>60000</v>
      </c>
      <c r="Q44">
        <v>0.06</v>
      </c>
      <c r="R44" s="2">
        <v>225600</v>
      </c>
    </row>
    <row r="45" spans="1:18" x14ac:dyDescent="0.25">
      <c r="A45" t="s">
        <v>101</v>
      </c>
      <c r="B45" s="1">
        <v>45513</v>
      </c>
      <c r="C45" s="1" t="s">
        <v>102</v>
      </c>
      <c r="D45" t="s">
        <v>93</v>
      </c>
      <c r="E45" t="s">
        <v>20</v>
      </c>
      <c r="F45" t="s">
        <v>21</v>
      </c>
      <c r="G45" t="s">
        <v>22</v>
      </c>
      <c r="H45" t="s">
        <v>23</v>
      </c>
      <c r="I45" t="s">
        <v>35</v>
      </c>
      <c r="J45" t="s">
        <v>36</v>
      </c>
      <c r="K45" t="s">
        <v>32</v>
      </c>
      <c r="L45" t="s">
        <v>65</v>
      </c>
      <c r="M45" t="str">
        <f>INDEX( dim_segment!$A$2:$A$5,MATCH(L45,  dim_segment!$B$2:$B$5, 0))</f>
        <v>SEG003</v>
      </c>
      <c r="N45" t="s">
        <v>37</v>
      </c>
      <c r="O45" s="2">
        <v>1</v>
      </c>
      <c r="P45" s="2">
        <v>45000</v>
      </c>
      <c r="Q45">
        <v>0.12</v>
      </c>
      <c r="R45" s="2">
        <v>39600</v>
      </c>
    </row>
    <row r="46" spans="1:18" x14ac:dyDescent="0.25">
      <c r="A46" t="s">
        <v>103</v>
      </c>
      <c r="B46" s="1">
        <v>45529</v>
      </c>
      <c r="C46" s="1" t="s">
        <v>102</v>
      </c>
      <c r="D46" t="s">
        <v>93</v>
      </c>
      <c r="E46" t="s">
        <v>20</v>
      </c>
      <c r="F46" t="s">
        <v>21</v>
      </c>
      <c r="G46" t="s">
        <v>22</v>
      </c>
      <c r="H46" t="s">
        <v>23</v>
      </c>
      <c r="I46" t="s">
        <v>40</v>
      </c>
      <c r="J46" t="s">
        <v>41</v>
      </c>
      <c r="K46" t="s">
        <v>42</v>
      </c>
      <c r="L46" t="s">
        <v>27</v>
      </c>
      <c r="M46" t="str">
        <f>INDEX( dim_segment!$A$2:$A$5,MATCH(L46,  dim_segment!$B$2:$B$5, 0))</f>
        <v>SEG002</v>
      </c>
      <c r="N46" t="s">
        <v>37</v>
      </c>
      <c r="O46" s="2">
        <v>5</v>
      </c>
      <c r="P46" s="2">
        <v>85000</v>
      </c>
      <c r="Q46">
        <v>0.19</v>
      </c>
      <c r="R46" s="2">
        <v>344200</v>
      </c>
    </row>
    <row r="47" spans="1:18" x14ac:dyDescent="0.25">
      <c r="A47" t="s">
        <v>104</v>
      </c>
      <c r="B47" s="1">
        <v>45531</v>
      </c>
      <c r="C47" s="1" t="s">
        <v>102</v>
      </c>
      <c r="D47" t="s">
        <v>93</v>
      </c>
      <c r="E47" t="s">
        <v>20</v>
      </c>
      <c r="F47" t="s">
        <v>21</v>
      </c>
      <c r="G47" t="s">
        <v>22</v>
      </c>
      <c r="H47" t="s">
        <v>23</v>
      </c>
      <c r="I47" t="s">
        <v>40</v>
      </c>
      <c r="J47" t="s">
        <v>41</v>
      </c>
      <c r="K47" t="s">
        <v>42</v>
      </c>
      <c r="L47" t="s">
        <v>27</v>
      </c>
      <c r="M47" t="str">
        <f>INDEX( dim_segment!$A$2:$A$5,MATCH(L47,  dim_segment!$B$2:$B$5, 0))</f>
        <v>SEG002</v>
      </c>
      <c r="N47" t="s">
        <v>28</v>
      </c>
      <c r="O47" s="2">
        <v>1</v>
      </c>
      <c r="P47" s="2">
        <v>85000</v>
      </c>
      <c r="Q47">
        <v>0.16</v>
      </c>
      <c r="R47" s="2">
        <v>71400</v>
      </c>
    </row>
    <row r="48" spans="1:18" x14ac:dyDescent="0.25">
      <c r="A48" t="s">
        <v>105</v>
      </c>
      <c r="B48" s="1">
        <v>45556</v>
      </c>
      <c r="C48" s="1" t="s">
        <v>106</v>
      </c>
      <c r="D48" t="s">
        <v>93</v>
      </c>
      <c r="E48" t="s">
        <v>20</v>
      </c>
      <c r="F48" t="s">
        <v>21</v>
      </c>
      <c r="G48" t="s">
        <v>22</v>
      </c>
      <c r="H48" t="s">
        <v>23</v>
      </c>
      <c r="I48" t="s">
        <v>40</v>
      </c>
      <c r="J48" t="s">
        <v>41</v>
      </c>
      <c r="K48" t="s">
        <v>42</v>
      </c>
      <c r="L48" t="s">
        <v>43</v>
      </c>
      <c r="M48" t="str">
        <f>INDEX( dim_segment!$A$2:$A$5,MATCH(L48,  dim_segment!$B$2:$B$5, 0))</f>
        <v>SEG004</v>
      </c>
      <c r="N48" t="s">
        <v>28</v>
      </c>
      <c r="O48" s="2">
        <v>1</v>
      </c>
      <c r="P48" s="2">
        <v>85000</v>
      </c>
      <c r="Q48">
        <v>0.16</v>
      </c>
      <c r="R48" s="2">
        <v>71400</v>
      </c>
    </row>
    <row r="49" spans="1:18" x14ac:dyDescent="0.25">
      <c r="A49" t="s">
        <v>107</v>
      </c>
      <c r="B49" s="1">
        <v>45560</v>
      </c>
      <c r="C49" s="1" t="s">
        <v>106</v>
      </c>
      <c r="D49" t="s">
        <v>93</v>
      </c>
      <c r="E49" t="s">
        <v>20</v>
      </c>
      <c r="F49" t="s">
        <v>21</v>
      </c>
      <c r="G49" t="s">
        <v>22</v>
      </c>
      <c r="H49" t="s">
        <v>23</v>
      </c>
      <c r="I49" t="s">
        <v>47</v>
      </c>
      <c r="J49" t="s">
        <v>48</v>
      </c>
      <c r="K49" t="s">
        <v>49</v>
      </c>
      <c r="L49" t="s">
        <v>27</v>
      </c>
      <c r="M49" t="str">
        <f>INDEX( dim_segment!$A$2:$A$5,MATCH(L49,  dim_segment!$B$2:$B$5, 0))</f>
        <v>SEG002</v>
      </c>
      <c r="N49" t="s">
        <v>37</v>
      </c>
      <c r="O49" s="2">
        <v>2</v>
      </c>
      <c r="P49" s="2">
        <v>200000</v>
      </c>
      <c r="Q49">
        <v>0.14000000000000001</v>
      </c>
      <c r="R49" s="2">
        <v>344000</v>
      </c>
    </row>
    <row r="50" spans="1:18" x14ac:dyDescent="0.25">
      <c r="A50" t="s">
        <v>108</v>
      </c>
      <c r="B50" s="1">
        <v>45549</v>
      </c>
      <c r="C50" s="1" t="s">
        <v>106</v>
      </c>
      <c r="D50" t="s">
        <v>93</v>
      </c>
      <c r="E50" t="s">
        <v>20</v>
      </c>
      <c r="F50" t="s">
        <v>21</v>
      </c>
      <c r="G50" t="s">
        <v>22</v>
      </c>
      <c r="H50" t="s">
        <v>23</v>
      </c>
      <c r="I50" t="s">
        <v>51</v>
      </c>
      <c r="J50" t="s">
        <v>52</v>
      </c>
      <c r="K50" t="s">
        <v>42</v>
      </c>
      <c r="L50" t="s">
        <v>27</v>
      </c>
      <c r="M50" t="str">
        <f>INDEX( dim_segment!$A$2:$A$5,MATCH(L50,  dim_segment!$B$2:$B$5, 0))</f>
        <v>SEG002</v>
      </c>
      <c r="N50" t="s">
        <v>37</v>
      </c>
      <c r="O50" s="2">
        <v>3</v>
      </c>
      <c r="P50" s="2">
        <v>150000</v>
      </c>
      <c r="Q50">
        <v>0.17</v>
      </c>
      <c r="R50" s="2">
        <v>373500</v>
      </c>
    </row>
    <row r="51" spans="1:18" x14ac:dyDescent="0.25">
      <c r="A51" t="s">
        <v>109</v>
      </c>
      <c r="B51" s="1">
        <v>45556</v>
      </c>
      <c r="C51" s="1" t="s">
        <v>106</v>
      </c>
      <c r="D51" t="s">
        <v>93</v>
      </c>
      <c r="E51" t="s">
        <v>20</v>
      </c>
      <c r="F51" t="s">
        <v>21</v>
      </c>
      <c r="G51" t="s">
        <v>22</v>
      </c>
      <c r="H51" t="s">
        <v>23</v>
      </c>
      <c r="I51" t="s">
        <v>30</v>
      </c>
      <c r="J51" t="s">
        <v>31</v>
      </c>
      <c r="K51" t="s">
        <v>32</v>
      </c>
      <c r="L51" t="s">
        <v>23</v>
      </c>
      <c r="M51" t="str">
        <f>INDEX( dim_segment!$A$2:$A$5,MATCH(L51,  dim_segment!$B$2:$B$5, 0))</f>
        <v>SEG001</v>
      </c>
      <c r="N51" t="s">
        <v>28</v>
      </c>
      <c r="O51" s="2">
        <v>1</v>
      </c>
      <c r="P51" s="2">
        <v>60000</v>
      </c>
      <c r="Q51">
        <v>7.0000000000000007E-2</v>
      </c>
      <c r="R51" s="2">
        <v>55800</v>
      </c>
    </row>
    <row r="52" spans="1:18" x14ac:dyDescent="0.25">
      <c r="A52" t="s">
        <v>110</v>
      </c>
      <c r="B52" s="1">
        <v>45543</v>
      </c>
      <c r="C52" s="1" t="s">
        <v>106</v>
      </c>
      <c r="D52" t="s">
        <v>93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43</v>
      </c>
      <c r="M52" t="str">
        <f>INDEX( dim_segment!$A$2:$A$5,MATCH(L52,  dim_segment!$B$2:$B$5, 0))</f>
        <v>SEG004</v>
      </c>
      <c r="N52" t="s">
        <v>54</v>
      </c>
      <c r="O52" s="2">
        <v>1</v>
      </c>
      <c r="P52" s="2">
        <v>75000</v>
      </c>
      <c r="Q52">
        <v>0.17</v>
      </c>
      <c r="R52" s="2">
        <v>62200</v>
      </c>
    </row>
    <row r="53" spans="1:18" x14ac:dyDescent="0.25">
      <c r="A53" t="s">
        <v>111</v>
      </c>
      <c r="B53" s="1">
        <v>45547</v>
      </c>
      <c r="C53" s="1" t="s">
        <v>106</v>
      </c>
      <c r="D53" t="s">
        <v>93</v>
      </c>
      <c r="E53" t="s">
        <v>20</v>
      </c>
      <c r="F53" t="s">
        <v>21</v>
      </c>
      <c r="G53" t="s">
        <v>22</v>
      </c>
      <c r="H53" t="s">
        <v>23</v>
      </c>
      <c r="I53" t="s">
        <v>30</v>
      </c>
      <c r="J53" t="s">
        <v>31</v>
      </c>
      <c r="K53" t="s">
        <v>32</v>
      </c>
      <c r="L53" t="s">
        <v>65</v>
      </c>
      <c r="M53" t="str">
        <f>INDEX( dim_segment!$A$2:$A$5,MATCH(L53,  dim_segment!$B$2:$B$5, 0))</f>
        <v>SEG003</v>
      </c>
      <c r="N53" t="s">
        <v>37</v>
      </c>
      <c r="O53" s="2">
        <v>2</v>
      </c>
      <c r="P53" s="2">
        <v>60000</v>
      </c>
      <c r="Q53">
        <v>0.17</v>
      </c>
      <c r="R53" s="2">
        <v>99600</v>
      </c>
    </row>
    <row r="54" spans="1:18" x14ac:dyDescent="0.25">
      <c r="A54" t="s">
        <v>112</v>
      </c>
      <c r="B54" s="1">
        <v>45545</v>
      </c>
      <c r="C54" s="1" t="s">
        <v>106</v>
      </c>
      <c r="D54" t="s">
        <v>93</v>
      </c>
      <c r="E54" t="s">
        <v>20</v>
      </c>
      <c r="F54" t="s">
        <v>21</v>
      </c>
      <c r="G54" t="s">
        <v>22</v>
      </c>
      <c r="H54" t="s">
        <v>23</v>
      </c>
      <c r="I54" t="s">
        <v>51</v>
      </c>
      <c r="J54" t="s">
        <v>52</v>
      </c>
      <c r="K54" t="s">
        <v>42</v>
      </c>
      <c r="L54" t="s">
        <v>27</v>
      </c>
      <c r="M54" t="str">
        <f>INDEX( dim_segment!$A$2:$A$5,MATCH(L54,  dim_segment!$B$2:$B$5, 0))</f>
        <v>SEG002</v>
      </c>
      <c r="N54" t="s">
        <v>28</v>
      </c>
      <c r="O54" s="2">
        <v>5</v>
      </c>
      <c r="P54" s="2">
        <v>150000</v>
      </c>
      <c r="Q54">
        <v>0.11</v>
      </c>
      <c r="R54" s="2">
        <v>667500</v>
      </c>
    </row>
    <row r="55" spans="1:18" x14ac:dyDescent="0.25">
      <c r="A55" t="s">
        <v>113</v>
      </c>
      <c r="B55" s="1">
        <v>45545</v>
      </c>
      <c r="C55" s="1" t="s">
        <v>106</v>
      </c>
      <c r="D55" t="s">
        <v>93</v>
      </c>
      <c r="E55" t="s">
        <v>20</v>
      </c>
      <c r="F55" t="s">
        <v>21</v>
      </c>
      <c r="G55" t="s">
        <v>22</v>
      </c>
      <c r="H55" t="s">
        <v>23</v>
      </c>
      <c r="I55" t="s">
        <v>51</v>
      </c>
      <c r="J55" t="s">
        <v>52</v>
      </c>
      <c r="K55" t="s">
        <v>42</v>
      </c>
      <c r="L55" t="s">
        <v>65</v>
      </c>
      <c r="M55" t="str">
        <f>INDEX( dim_segment!$A$2:$A$5,MATCH(L55,  dim_segment!$B$2:$B$5, 0))</f>
        <v>SEG003</v>
      </c>
      <c r="N55" t="s">
        <v>54</v>
      </c>
      <c r="O55" s="2">
        <v>3</v>
      </c>
      <c r="P55" s="2">
        <v>150000</v>
      </c>
      <c r="Q55">
        <v>0.17</v>
      </c>
      <c r="R55" s="2">
        <v>373500</v>
      </c>
    </row>
    <row r="56" spans="1:18" x14ac:dyDescent="0.25">
      <c r="A56" t="s">
        <v>114</v>
      </c>
      <c r="B56" s="1">
        <v>45567</v>
      </c>
      <c r="C56" s="1" t="s">
        <v>115</v>
      </c>
      <c r="D56" t="s">
        <v>116</v>
      </c>
      <c r="E56" t="s">
        <v>20</v>
      </c>
      <c r="F56" t="s">
        <v>21</v>
      </c>
      <c r="G56" t="s">
        <v>22</v>
      </c>
      <c r="H56" t="s">
        <v>23</v>
      </c>
      <c r="I56" t="s">
        <v>60</v>
      </c>
      <c r="J56" t="s">
        <v>61</v>
      </c>
      <c r="K56" t="s">
        <v>26</v>
      </c>
      <c r="L56" t="s">
        <v>65</v>
      </c>
      <c r="M56" t="str">
        <f>INDEX( dim_segment!$A$2:$A$5,MATCH(L56,  dim_segment!$B$2:$B$5, 0))</f>
        <v>SEG003</v>
      </c>
      <c r="N56" t="s">
        <v>28</v>
      </c>
      <c r="O56" s="2">
        <v>4</v>
      </c>
      <c r="P56" s="2">
        <v>95000</v>
      </c>
      <c r="Q56">
        <v>0.17</v>
      </c>
      <c r="R56" s="2">
        <v>315400</v>
      </c>
    </row>
    <row r="57" spans="1:18" x14ac:dyDescent="0.25">
      <c r="A57" t="s">
        <v>117</v>
      </c>
      <c r="B57" s="1">
        <v>45591</v>
      </c>
      <c r="C57" s="1" t="s">
        <v>115</v>
      </c>
      <c r="D57" t="s">
        <v>116</v>
      </c>
      <c r="E57" t="s">
        <v>20</v>
      </c>
      <c r="F57" t="s">
        <v>21</v>
      </c>
      <c r="G57" t="s">
        <v>22</v>
      </c>
      <c r="H57" t="s">
        <v>23</v>
      </c>
      <c r="I57" t="s">
        <v>47</v>
      </c>
      <c r="J57" t="s">
        <v>48</v>
      </c>
      <c r="K57" t="s">
        <v>49</v>
      </c>
      <c r="L57" t="s">
        <v>23</v>
      </c>
      <c r="M57" t="str">
        <f>INDEX( dim_segment!$A$2:$A$5,MATCH(L57,  dim_segment!$B$2:$B$5, 0))</f>
        <v>SEG001</v>
      </c>
      <c r="N57" t="s">
        <v>33</v>
      </c>
      <c r="O57" s="2">
        <v>3</v>
      </c>
      <c r="P57" s="2">
        <v>200000</v>
      </c>
      <c r="Q57">
        <v>0.15</v>
      </c>
      <c r="R57" s="2">
        <v>510000</v>
      </c>
    </row>
    <row r="58" spans="1:18" x14ac:dyDescent="0.25">
      <c r="A58" t="s">
        <v>118</v>
      </c>
      <c r="B58" s="1">
        <v>45570</v>
      </c>
      <c r="C58" s="1" t="s">
        <v>115</v>
      </c>
      <c r="D58" t="s">
        <v>116</v>
      </c>
      <c r="E58" t="s">
        <v>20</v>
      </c>
      <c r="F58" t="s">
        <v>21</v>
      </c>
      <c r="G58" t="s">
        <v>22</v>
      </c>
      <c r="H58" t="s">
        <v>23</v>
      </c>
      <c r="I58" t="s">
        <v>75</v>
      </c>
      <c r="J58" t="s">
        <v>76</v>
      </c>
      <c r="K58" t="s">
        <v>49</v>
      </c>
      <c r="L58" t="s">
        <v>23</v>
      </c>
      <c r="M58" t="str">
        <f>INDEX( dim_segment!$A$2:$A$5,MATCH(L58,  dim_segment!$B$2:$B$5, 0))</f>
        <v>SEG001</v>
      </c>
      <c r="N58" t="s">
        <v>37</v>
      </c>
      <c r="O58" s="2">
        <v>5</v>
      </c>
      <c r="P58" s="2">
        <v>120000</v>
      </c>
      <c r="Q58">
        <v>0.08</v>
      </c>
      <c r="R58" s="2">
        <v>552000</v>
      </c>
    </row>
    <row r="59" spans="1:18" x14ac:dyDescent="0.25">
      <c r="A59" t="s">
        <v>119</v>
      </c>
      <c r="B59" s="1">
        <v>45590</v>
      </c>
      <c r="C59" s="1" t="s">
        <v>115</v>
      </c>
      <c r="D59" t="s">
        <v>116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tr">
        <f>INDEX( dim_segment!$A$2:$A$5,MATCH(L59,  dim_segment!$B$2:$B$5, 0))</f>
        <v>SEG002</v>
      </c>
      <c r="N59" t="s">
        <v>28</v>
      </c>
      <c r="O59" s="2">
        <v>4</v>
      </c>
      <c r="P59" s="2">
        <v>75000</v>
      </c>
      <c r="Q59">
        <v>0.13</v>
      </c>
      <c r="R59" s="2">
        <v>261000</v>
      </c>
    </row>
    <row r="60" spans="1:18" x14ac:dyDescent="0.25">
      <c r="A60" t="s">
        <v>120</v>
      </c>
      <c r="B60" s="1">
        <v>45586</v>
      </c>
      <c r="C60" s="1" t="s">
        <v>115</v>
      </c>
      <c r="D60" t="s">
        <v>116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65</v>
      </c>
      <c r="M60" t="str">
        <f>INDEX( dim_segment!$A$2:$A$5,MATCH(L60,  dim_segment!$B$2:$B$5, 0))</f>
        <v>SEG003</v>
      </c>
      <c r="N60" t="s">
        <v>28</v>
      </c>
      <c r="O60" s="2">
        <v>1</v>
      </c>
      <c r="P60" s="2">
        <v>75000</v>
      </c>
      <c r="Q60">
        <v>0.08</v>
      </c>
      <c r="R60" s="2">
        <v>69000</v>
      </c>
    </row>
    <row r="61" spans="1:18" x14ac:dyDescent="0.25">
      <c r="A61" t="s">
        <v>121</v>
      </c>
      <c r="B61" s="1">
        <v>45566</v>
      </c>
      <c r="C61" s="1" t="s">
        <v>115</v>
      </c>
      <c r="D61" t="s">
        <v>116</v>
      </c>
      <c r="E61" t="s">
        <v>20</v>
      </c>
      <c r="F61" t="s">
        <v>21</v>
      </c>
      <c r="G61" t="s">
        <v>22</v>
      </c>
      <c r="H61" t="s">
        <v>23</v>
      </c>
      <c r="I61" t="s">
        <v>40</v>
      </c>
      <c r="J61" t="s">
        <v>41</v>
      </c>
      <c r="K61" t="s">
        <v>42</v>
      </c>
      <c r="L61" t="s">
        <v>27</v>
      </c>
      <c r="M61" t="str">
        <f>INDEX( dim_segment!$A$2:$A$5,MATCH(L61,  dim_segment!$B$2:$B$5, 0))</f>
        <v>SEG002</v>
      </c>
      <c r="N61" t="s">
        <v>28</v>
      </c>
      <c r="O61" s="2">
        <v>4</v>
      </c>
      <c r="P61" s="2">
        <v>85000</v>
      </c>
      <c r="Q61">
        <v>0.05</v>
      </c>
      <c r="R61" s="2">
        <v>323000</v>
      </c>
    </row>
    <row r="62" spans="1:18" x14ac:dyDescent="0.25">
      <c r="A62" t="s">
        <v>122</v>
      </c>
      <c r="B62" s="1">
        <v>45574</v>
      </c>
      <c r="C62" s="1" t="s">
        <v>115</v>
      </c>
      <c r="D62" t="s">
        <v>116</v>
      </c>
      <c r="E62" t="s">
        <v>20</v>
      </c>
      <c r="F62" t="s">
        <v>21</v>
      </c>
      <c r="G62" t="s">
        <v>22</v>
      </c>
      <c r="H62" t="s">
        <v>23</v>
      </c>
      <c r="I62" t="s">
        <v>30</v>
      </c>
      <c r="J62" t="s">
        <v>31</v>
      </c>
      <c r="K62" t="s">
        <v>32</v>
      </c>
      <c r="L62" t="s">
        <v>27</v>
      </c>
      <c r="M62" t="str">
        <f>INDEX( dim_segment!$A$2:$A$5,MATCH(L62,  dim_segment!$B$2:$B$5, 0))</f>
        <v>SEG002</v>
      </c>
      <c r="N62" t="s">
        <v>33</v>
      </c>
      <c r="O62" s="2">
        <v>3</v>
      </c>
      <c r="P62" s="2">
        <v>60000</v>
      </c>
      <c r="Q62">
        <v>0.06</v>
      </c>
      <c r="R62" s="2">
        <v>169200</v>
      </c>
    </row>
    <row r="63" spans="1:18" x14ac:dyDescent="0.25">
      <c r="A63" t="s">
        <v>123</v>
      </c>
      <c r="B63" s="1">
        <v>45567</v>
      </c>
      <c r="C63" s="1" t="s">
        <v>115</v>
      </c>
      <c r="D63" t="s">
        <v>116</v>
      </c>
      <c r="E63" t="s">
        <v>20</v>
      </c>
      <c r="F63" t="s">
        <v>21</v>
      </c>
      <c r="G63" t="s">
        <v>22</v>
      </c>
      <c r="H63" t="s">
        <v>23</v>
      </c>
      <c r="I63" t="s">
        <v>30</v>
      </c>
      <c r="J63" t="s">
        <v>31</v>
      </c>
      <c r="K63" t="s">
        <v>32</v>
      </c>
      <c r="L63" t="s">
        <v>43</v>
      </c>
      <c r="M63" t="str">
        <f>INDEX( dim_segment!$A$2:$A$5,MATCH(L63,  dim_segment!$B$2:$B$5, 0))</f>
        <v>SEG004</v>
      </c>
      <c r="N63" t="s">
        <v>33</v>
      </c>
      <c r="O63" s="2">
        <v>1</v>
      </c>
      <c r="P63" s="2">
        <v>60000</v>
      </c>
      <c r="Q63">
        <v>0.19</v>
      </c>
      <c r="R63" s="2">
        <v>48600</v>
      </c>
    </row>
    <row r="64" spans="1:18" x14ac:dyDescent="0.25">
      <c r="A64" t="s">
        <v>124</v>
      </c>
      <c r="B64" s="1">
        <v>45607</v>
      </c>
      <c r="C64" s="1" t="s">
        <v>125</v>
      </c>
      <c r="D64" t="s">
        <v>116</v>
      </c>
      <c r="E64" t="s">
        <v>20</v>
      </c>
      <c r="F64" t="s">
        <v>21</v>
      </c>
      <c r="G64" t="s">
        <v>22</v>
      </c>
      <c r="H64" t="s">
        <v>23</v>
      </c>
      <c r="I64" t="s">
        <v>40</v>
      </c>
      <c r="J64" t="s">
        <v>41</v>
      </c>
      <c r="K64" t="s">
        <v>42</v>
      </c>
      <c r="L64" t="s">
        <v>43</v>
      </c>
      <c r="M64" t="str">
        <f>INDEX( dim_segment!$A$2:$A$5,MATCH(L64,  dim_segment!$B$2:$B$5, 0))</f>
        <v>SEG004</v>
      </c>
      <c r="N64" t="s">
        <v>28</v>
      </c>
      <c r="O64" s="2">
        <v>2</v>
      </c>
      <c r="P64" s="2">
        <v>85000</v>
      </c>
      <c r="Q64">
        <v>0.14000000000000001</v>
      </c>
      <c r="R64" s="2">
        <v>146200</v>
      </c>
    </row>
    <row r="65" spans="1:18" x14ac:dyDescent="0.25">
      <c r="A65" t="s">
        <v>126</v>
      </c>
      <c r="B65" s="1">
        <v>45613</v>
      </c>
      <c r="C65" s="1" t="s">
        <v>125</v>
      </c>
      <c r="D65" t="s">
        <v>116</v>
      </c>
      <c r="E65" t="s">
        <v>20</v>
      </c>
      <c r="F65" t="s">
        <v>21</v>
      </c>
      <c r="G65" t="s">
        <v>22</v>
      </c>
      <c r="H65" t="s">
        <v>23</v>
      </c>
      <c r="I65" t="s">
        <v>60</v>
      </c>
      <c r="J65" t="s">
        <v>61</v>
      </c>
      <c r="K65" t="s">
        <v>26</v>
      </c>
      <c r="L65" t="s">
        <v>27</v>
      </c>
      <c r="M65" t="str">
        <f>INDEX( dim_segment!$A$2:$A$5,MATCH(L65,  dim_segment!$B$2:$B$5, 0))</f>
        <v>SEG002</v>
      </c>
      <c r="N65" t="s">
        <v>28</v>
      </c>
      <c r="O65" s="2">
        <v>5</v>
      </c>
      <c r="P65" s="2">
        <v>95000</v>
      </c>
      <c r="Q65">
        <v>0.06</v>
      </c>
      <c r="R65" s="2">
        <v>446500</v>
      </c>
    </row>
    <row r="66" spans="1:18" x14ac:dyDescent="0.25">
      <c r="A66" t="s">
        <v>127</v>
      </c>
      <c r="B66" s="1">
        <v>45600</v>
      </c>
      <c r="C66" s="1" t="s">
        <v>125</v>
      </c>
      <c r="D66" t="s">
        <v>116</v>
      </c>
      <c r="E66" t="s">
        <v>20</v>
      </c>
      <c r="F66" t="s">
        <v>21</v>
      </c>
      <c r="G66" t="s">
        <v>22</v>
      </c>
      <c r="H66" t="s">
        <v>23</v>
      </c>
      <c r="I66" t="s">
        <v>60</v>
      </c>
      <c r="J66" t="s">
        <v>61</v>
      </c>
      <c r="K66" t="s">
        <v>26</v>
      </c>
      <c r="L66" t="s">
        <v>43</v>
      </c>
      <c r="M66" t="str">
        <f>INDEX( dim_segment!$A$2:$A$5,MATCH(L66,  dim_segment!$B$2:$B$5, 0))</f>
        <v>SEG004</v>
      </c>
      <c r="N66" t="s">
        <v>28</v>
      </c>
      <c r="O66" s="2">
        <v>2</v>
      </c>
      <c r="P66" s="2">
        <v>95000</v>
      </c>
      <c r="Q66">
        <v>0.16</v>
      </c>
      <c r="R66" s="2">
        <v>159600</v>
      </c>
    </row>
    <row r="67" spans="1:18" x14ac:dyDescent="0.25">
      <c r="A67" t="s">
        <v>128</v>
      </c>
      <c r="B67" s="1">
        <v>45604</v>
      </c>
      <c r="C67" s="1" t="s">
        <v>125</v>
      </c>
      <c r="D67" t="s">
        <v>116</v>
      </c>
      <c r="E67" t="s">
        <v>20</v>
      </c>
      <c r="F67" t="s">
        <v>21</v>
      </c>
      <c r="G67" t="s">
        <v>22</v>
      </c>
      <c r="H67" t="s">
        <v>23</v>
      </c>
      <c r="I67" t="s">
        <v>30</v>
      </c>
      <c r="J67" t="s">
        <v>31</v>
      </c>
      <c r="K67" t="s">
        <v>32</v>
      </c>
      <c r="L67" t="s">
        <v>27</v>
      </c>
      <c r="M67" t="str">
        <f>INDEX( dim_segment!$A$2:$A$5,MATCH(L67,  dim_segment!$B$2:$B$5, 0))</f>
        <v>SEG002</v>
      </c>
      <c r="N67" t="s">
        <v>37</v>
      </c>
      <c r="O67" s="2">
        <v>2</v>
      </c>
      <c r="P67" s="2">
        <v>60000</v>
      </c>
      <c r="Q67">
        <v>0.12</v>
      </c>
      <c r="R67" s="2">
        <v>105600</v>
      </c>
    </row>
    <row r="68" spans="1:18" x14ac:dyDescent="0.25">
      <c r="A68" t="s">
        <v>129</v>
      </c>
      <c r="B68" s="1">
        <v>45613</v>
      </c>
      <c r="C68" s="1" t="s">
        <v>125</v>
      </c>
      <c r="D68" t="s">
        <v>116</v>
      </c>
      <c r="E68" t="s">
        <v>20</v>
      </c>
      <c r="F68" t="s">
        <v>21</v>
      </c>
      <c r="G68" t="s">
        <v>22</v>
      </c>
      <c r="H68" t="s">
        <v>23</v>
      </c>
      <c r="I68" t="s">
        <v>30</v>
      </c>
      <c r="J68" t="s">
        <v>31</v>
      </c>
      <c r="K68" t="s">
        <v>32</v>
      </c>
      <c r="L68" t="s">
        <v>23</v>
      </c>
      <c r="M68" t="str">
        <f>INDEX( dim_segment!$A$2:$A$5,MATCH(L68,  dim_segment!$B$2:$B$5, 0))</f>
        <v>SEG001</v>
      </c>
      <c r="N68" t="s">
        <v>28</v>
      </c>
      <c r="O68" s="2">
        <v>5</v>
      </c>
      <c r="P68" s="2">
        <v>60000</v>
      </c>
      <c r="Q68">
        <v>0.15</v>
      </c>
      <c r="R68" s="2">
        <v>255000</v>
      </c>
    </row>
    <row r="69" spans="1:18" x14ac:dyDescent="0.25">
      <c r="A69" t="s">
        <v>130</v>
      </c>
      <c r="B69" s="1">
        <v>45619</v>
      </c>
      <c r="C69" s="1" t="s">
        <v>125</v>
      </c>
      <c r="D69" t="s">
        <v>116</v>
      </c>
      <c r="E69" t="s">
        <v>20</v>
      </c>
      <c r="F69" t="s">
        <v>21</v>
      </c>
      <c r="G69" t="s">
        <v>22</v>
      </c>
      <c r="H69" t="s">
        <v>23</v>
      </c>
      <c r="I69" t="s">
        <v>35</v>
      </c>
      <c r="J69" t="s">
        <v>36</v>
      </c>
      <c r="K69" t="s">
        <v>32</v>
      </c>
      <c r="L69" t="s">
        <v>43</v>
      </c>
      <c r="M69" t="str">
        <f>INDEX( dim_segment!$A$2:$A$5,MATCH(L69,  dim_segment!$B$2:$B$5, 0))</f>
        <v>SEG004</v>
      </c>
      <c r="N69" t="s">
        <v>33</v>
      </c>
      <c r="O69" s="2">
        <v>5</v>
      </c>
      <c r="P69" s="2">
        <v>45000</v>
      </c>
      <c r="Q69">
        <v>0.08</v>
      </c>
      <c r="R69" s="2">
        <v>207000</v>
      </c>
    </row>
    <row r="70" spans="1:18" x14ac:dyDescent="0.25">
      <c r="A70" t="s">
        <v>131</v>
      </c>
      <c r="B70" s="1">
        <v>45621</v>
      </c>
      <c r="C70" s="1" t="s">
        <v>125</v>
      </c>
      <c r="D70" t="s">
        <v>116</v>
      </c>
      <c r="E70" t="s">
        <v>20</v>
      </c>
      <c r="F70" t="s">
        <v>21</v>
      </c>
      <c r="G70" t="s">
        <v>22</v>
      </c>
      <c r="H70" t="s">
        <v>23</v>
      </c>
      <c r="I70" t="s">
        <v>40</v>
      </c>
      <c r="J70" t="s">
        <v>41</v>
      </c>
      <c r="K70" t="s">
        <v>42</v>
      </c>
      <c r="L70" t="s">
        <v>65</v>
      </c>
      <c r="M70" t="str">
        <f>INDEX( dim_segment!$A$2:$A$5,MATCH(L70,  dim_segment!$B$2:$B$5, 0))</f>
        <v>SEG003</v>
      </c>
      <c r="N70" t="s">
        <v>33</v>
      </c>
      <c r="O70" s="2">
        <v>2</v>
      </c>
      <c r="P70" s="2">
        <v>85000</v>
      </c>
      <c r="Q70">
        <v>0.09</v>
      </c>
      <c r="R70" s="2">
        <v>154700</v>
      </c>
    </row>
    <row r="71" spans="1:18" x14ac:dyDescent="0.25">
      <c r="A71" t="s">
        <v>132</v>
      </c>
      <c r="B71" s="1">
        <v>45597</v>
      </c>
      <c r="C71" s="1" t="s">
        <v>125</v>
      </c>
      <c r="D71" t="s">
        <v>116</v>
      </c>
      <c r="E71" t="s">
        <v>20</v>
      </c>
      <c r="F71" t="s">
        <v>21</v>
      </c>
      <c r="G71" t="s">
        <v>22</v>
      </c>
      <c r="H71" t="s">
        <v>23</v>
      </c>
      <c r="I71" t="s">
        <v>35</v>
      </c>
      <c r="J71" t="s">
        <v>36</v>
      </c>
      <c r="K71" t="s">
        <v>32</v>
      </c>
      <c r="L71" t="s">
        <v>23</v>
      </c>
      <c r="M71" t="str">
        <f>INDEX( dim_segment!$A$2:$A$5,MATCH(L71,  dim_segment!$B$2:$B$5, 0))</f>
        <v>SEG001</v>
      </c>
      <c r="N71" t="s">
        <v>33</v>
      </c>
      <c r="O71" s="2">
        <v>1</v>
      </c>
      <c r="P71" s="2">
        <v>45000</v>
      </c>
      <c r="Q71">
        <v>0.17</v>
      </c>
      <c r="R71" s="2">
        <v>37400</v>
      </c>
    </row>
    <row r="72" spans="1:18" x14ac:dyDescent="0.25">
      <c r="A72" t="s">
        <v>133</v>
      </c>
      <c r="B72" s="1">
        <v>45628</v>
      </c>
      <c r="C72" s="1" t="s">
        <v>134</v>
      </c>
      <c r="D72" t="s">
        <v>116</v>
      </c>
      <c r="E72" t="s">
        <v>20</v>
      </c>
      <c r="F72" t="s">
        <v>21</v>
      </c>
      <c r="G72" t="s">
        <v>22</v>
      </c>
      <c r="H72" t="s">
        <v>23</v>
      </c>
      <c r="I72" t="s">
        <v>51</v>
      </c>
      <c r="J72" t="s">
        <v>52</v>
      </c>
      <c r="K72" t="s">
        <v>42</v>
      </c>
      <c r="L72" t="s">
        <v>65</v>
      </c>
      <c r="M72" t="str">
        <f>INDEX( dim_segment!$A$2:$A$5,MATCH(L72,  dim_segment!$B$2:$B$5, 0))</f>
        <v>SEG003</v>
      </c>
      <c r="N72" t="s">
        <v>28</v>
      </c>
      <c r="O72" s="2">
        <v>3</v>
      </c>
      <c r="P72" s="2">
        <v>150000</v>
      </c>
      <c r="Q72">
        <v>0.08</v>
      </c>
      <c r="R72" s="2">
        <v>414000</v>
      </c>
    </row>
    <row r="73" spans="1:18" x14ac:dyDescent="0.25">
      <c r="A73" t="s">
        <v>135</v>
      </c>
      <c r="B73" s="1">
        <v>45643</v>
      </c>
      <c r="C73" s="1" t="s">
        <v>134</v>
      </c>
      <c r="D73" t="s">
        <v>116</v>
      </c>
      <c r="E73" t="s">
        <v>20</v>
      </c>
      <c r="F73" t="s">
        <v>21</v>
      </c>
      <c r="G73" t="s">
        <v>22</v>
      </c>
      <c r="H73" t="s">
        <v>23</v>
      </c>
      <c r="I73" t="s">
        <v>75</v>
      </c>
      <c r="J73" t="s">
        <v>76</v>
      </c>
      <c r="K73" t="s">
        <v>49</v>
      </c>
      <c r="L73" t="s">
        <v>65</v>
      </c>
      <c r="M73" t="str">
        <f>INDEX( dim_segment!$A$2:$A$5,MATCH(L73,  dim_segment!$B$2:$B$5, 0))</f>
        <v>SEG003</v>
      </c>
      <c r="N73" t="s">
        <v>28</v>
      </c>
      <c r="O73" s="2">
        <v>3</v>
      </c>
      <c r="P73" s="2">
        <v>120000</v>
      </c>
      <c r="Q73">
        <v>0.05</v>
      </c>
      <c r="R73" s="2">
        <v>342000</v>
      </c>
    </row>
    <row r="74" spans="1:18" x14ac:dyDescent="0.25">
      <c r="A74" t="s">
        <v>136</v>
      </c>
      <c r="B74" s="1">
        <v>45639</v>
      </c>
      <c r="C74" s="1" t="s">
        <v>134</v>
      </c>
      <c r="D74" t="s">
        <v>116</v>
      </c>
      <c r="E74" t="s">
        <v>20</v>
      </c>
      <c r="F74" t="s">
        <v>21</v>
      </c>
      <c r="G74" t="s">
        <v>22</v>
      </c>
      <c r="H74" t="s">
        <v>23</v>
      </c>
      <c r="I74" t="s">
        <v>47</v>
      </c>
      <c r="J74" t="s">
        <v>48</v>
      </c>
      <c r="K74" t="s">
        <v>49</v>
      </c>
      <c r="L74" t="s">
        <v>27</v>
      </c>
      <c r="M74" t="str">
        <f>INDEX( dim_segment!$A$2:$A$5,MATCH(L74,  dim_segment!$B$2:$B$5, 0))</f>
        <v>SEG002</v>
      </c>
      <c r="N74" t="s">
        <v>37</v>
      </c>
      <c r="O74" s="2">
        <v>1</v>
      </c>
      <c r="P74" s="2">
        <v>200000</v>
      </c>
      <c r="Q74">
        <v>7.0000000000000007E-2</v>
      </c>
      <c r="R74" s="2">
        <v>186000</v>
      </c>
    </row>
    <row r="75" spans="1:18" x14ac:dyDescent="0.25">
      <c r="A75" t="s">
        <v>137</v>
      </c>
      <c r="B75" s="1">
        <v>45627</v>
      </c>
      <c r="C75" s="1" t="s">
        <v>134</v>
      </c>
      <c r="D75" t="s">
        <v>116</v>
      </c>
      <c r="E75" t="s">
        <v>20</v>
      </c>
      <c r="F75" t="s">
        <v>21</v>
      </c>
      <c r="G75" t="s">
        <v>22</v>
      </c>
      <c r="H75" t="s">
        <v>23</v>
      </c>
      <c r="I75" t="s">
        <v>75</v>
      </c>
      <c r="J75" t="s">
        <v>76</v>
      </c>
      <c r="K75" t="s">
        <v>49</v>
      </c>
      <c r="L75" t="s">
        <v>65</v>
      </c>
      <c r="M75" t="str">
        <f>INDEX( dim_segment!$A$2:$A$5,MATCH(L75,  dim_segment!$B$2:$B$5, 0))</f>
        <v>SEG003</v>
      </c>
      <c r="N75" t="s">
        <v>28</v>
      </c>
      <c r="O75" s="2">
        <v>2</v>
      </c>
      <c r="P75" s="2">
        <v>120000</v>
      </c>
      <c r="Q75">
        <v>0.12</v>
      </c>
      <c r="R75" s="2">
        <v>211200</v>
      </c>
    </row>
    <row r="76" spans="1:18" x14ac:dyDescent="0.25">
      <c r="A76" t="s">
        <v>138</v>
      </c>
      <c r="B76" s="1">
        <v>45654</v>
      </c>
      <c r="C76" s="1" t="s">
        <v>134</v>
      </c>
      <c r="D76" t="s">
        <v>116</v>
      </c>
      <c r="E76" t="s">
        <v>20</v>
      </c>
      <c r="F76" t="s">
        <v>21</v>
      </c>
      <c r="G76" t="s">
        <v>22</v>
      </c>
      <c r="H76" t="s">
        <v>23</v>
      </c>
      <c r="I76" t="s">
        <v>30</v>
      </c>
      <c r="J76" t="s">
        <v>31</v>
      </c>
      <c r="K76" t="s">
        <v>32</v>
      </c>
      <c r="L76" t="s">
        <v>43</v>
      </c>
      <c r="M76" t="str">
        <f>INDEX( dim_segment!$A$2:$A$5,MATCH(L76,  dim_segment!$B$2:$B$5, 0))</f>
        <v>SEG004</v>
      </c>
      <c r="N76" t="s">
        <v>54</v>
      </c>
      <c r="O76" s="2">
        <v>5</v>
      </c>
      <c r="P76" s="2">
        <v>60000</v>
      </c>
      <c r="Q76">
        <v>0.06</v>
      </c>
      <c r="R76" s="2">
        <v>282000</v>
      </c>
    </row>
    <row r="77" spans="1:18" x14ac:dyDescent="0.25">
      <c r="A77" t="s">
        <v>139</v>
      </c>
      <c r="B77" s="1">
        <v>45634</v>
      </c>
      <c r="C77" s="1" t="s">
        <v>134</v>
      </c>
      <c r="D77" t="s">
        <v>116</v>
      </c>
      <c r="E77" t="s">
        <v>20</v>
      </c>
      <c r="F77" t="s">
        <v>21</v>
      </c>
      <c r="G77" t="s">
        <v>22</v>
      </c>
      <c r="H77" t="s">
        <v>23</v>
      </c>
      <c r="I77" t="s">
        <v>47</v>
      </c>
      <c r="J77" t="s">
        <v>48</v>
      </c>
      <c r="K77" t="s">
        <v>49</v>
      </c>
      <c r="L77" t="s">
        <v>27</v>
      </c>
      <c r="M77" t="str">
        <f>INDEX( dim_segment!$A$2:$A$5,MATCH(L77,  dim_segment!$B$2:$B$5, 0))</f>
        <v>SEG002</v>
      </c>
      <c r="N77" t="s">
        <v>54</v>
      </c>
      <c r="O77" s="2">
        <v>3</v>
      </c>
      <c r="P77" s="2">
        <v>200000</v>
      </c>
      <c r="Q77">
        <v>0.18</v>
      </c>
      <c r="R77" s="2">
        <v>492000</v>
      </c>
    </row>
    <row r="78" spans="1:18" x14ac:dyDescent="0.25">
      <c r="A78" t="s">
        <v>140</v>
      </c>
      <c r="B78" s="1">
        <v>45634</v>
      </c>
      <c r="C78" s="1" t="s">
        <v>134</v>
      </c>
      <c r="D78" t="s">
        <v>116</v>
      </c>
      <c r="E78" t="s">
        <v>20</v>
      </c>
      <c r="F78" t="s">
        <v>21</v>
      </c>
      <c r="G78" t="s">
        <v>22</v>
      </c>
      <c r="H78" t="s">
        <v>23</v>
      </c>
      <c r="I78" t="s">
        <v>51</v>
      </c>
      <c r="J78" t="s">
        <v>52</v>
      </c>
      <c r="K78" t="s">
        <v>42</v>
      </c>
      <c r="L78" t="s">
        <v>65</v>
      </c>
      <c r="M78" t="str">
        <f>INDEX( dim_segment!$A$2:$A$5,MATCH(L78,  dim_segment!$B$2:$B$5, 0))</f>
        <v>SEG003</v>
      </c>
      <c r="N78" t="s">
        <v>37</v>
      </c>
      <c r="O78" s="2">
        <v>1</v>
      </c>
      <c r="P78" s="2">
        <v>150000</v>
      </c>
      <c r="Q78">
        <v>0.08</v>
      </c>
      <c r="R78" s="2">
        <v>138000</v>
      </c>
    </row>
    <row r="79" spans="1:18" x14ac:dyDescent="0.25">
      <c r="A79" t="s">
        <v>141</v>
      </c>
      <c r="B79" s="1">
        <v>45313</v>
      </c>
      <c r="C79" s="1" t="s">
        <v>18</v>
      </c>
      <c r="D79" t="s">
        <v>19</v>
      </c>
      <c r="E79" t="s">
        <v>142</v>
      </c>
      <c r="F79" t="s">
        <v>143</v>
      </c>
      <c r="G79" t="s">
        <v>144</v>
      </c>
      <c r="H79" t="s">
        <v>27</v>
      </c>
      <c r="I79" t="s">
        <v>40</v>
      </c>
      <c r="J79" t="s">
        <v>41</v>
      </c>
      <c r="K79" t="s">
        <v>42</v>
      </c>
      <c r="L79" t="s">
        <v>43</v>
      </c>
      <c r="M79" t="str">
        <f>INDEX( dim_segment!$A$2:$A$5,MATCH(L79,  dim_segment!$B$2:$B$5, 0))</f>
        <v>SEG004</v>
      </c>
      <c r="N79" t="s">
        <v>54</v>
      </c>
      <c r="O79" s="2">
        <v>1</v>
      </c>
      <c r="P79" s="2">
        <v>85000</v>
      </c>
      <c r="Q79">
        <v>0.05</v>
      </c>
      <c r="R79" s="2">
        <v>80800</v>
      </c>
    </row>
    <row r="80" spans="1:18" x14ac:dyDescent="0.25">
      <c r="A80" t="s">
        <v>145</v>
      </c>
      <c r="B80" s="1">
        <v>45304</v>
      </c>
      <c r="C80" s="1" t="s">
        <v>18</v>
      </c>
      <c r="D80" t="s">
        <v>19</v>
      </c>
      <c r="E80" t="s">
        <v>142</v>
      </c>
      <c r="F80" t="s">
        <v>143</v>
      </c>
      <c r="G80" t="s">
        <v>144</v>
      </c>
      <c r="H80" t="s">
        <v>27</v>
      </c>
      <c r="I80" t="s">
        <v>47</v>
      </c>
      <c r="J80" t="s">
        <v>48</v>
      </c>
      <c r="K80" t="s">
        <v>49</v>
      </c>
      <c r="L80" t="s">
        <v>65</v>
      </c>
      <c r="M80" t="str">
        <f>INDEX( dim_segment!$A$2:$A$5,MATCH(L80,  dim_segment!$B$2:$B$5, 0))</f>
        <v>SEG003</v>
      </c>
      <c r="N80" t="s">
        <v>37</v>
      </c>
      <c r="O80" s="2">
        <v>4</v>
      </c>
      <c r="P80" s="2">
        <v>200000</v>
      </c>
      <c r="Q80">
        <v>0.05</v>
      </c>
      <c r="R80" s="2">
        <v>760000</v>
      </c>
    </row>
    <row r="81" spans="1:18" x14ac:dyDescent="0.25">
      <c r="A81" t="s">
        <v>146</v>
      </c>
      <c r="B81" s="1">
        <v>45299</v>
      </c>
      <c r="C81" s="1" t="s">
        <v>18</v>
      </c>
      <c r="D81" t="s">
        <v>19</v>
      </c>
      <c r="E81" t="s">
        <v>142</v>
      </c>
      <c r="F81" t="s">
        <v>143</v>
      </c>
      <c r="G81" t="s">
        <v>144</v>
      </c>
      <c r="H81" t="s">
        <v>27</v>
      </c>
      <c r="I81" t="s">
        <v>47</v>
      </c>
      <c r="J81" t="s">
        <v>48</v>
      </c>
      <c r="K81" t="s">
        <v>49</v>
      </c>
      <c r="L81" t="s">
        <v>23</v>
      </c>
      <c r="M81" t="str">
        <f>INDEX( dim_segment!$A$2:$A$5,MATCH(L81,  dim_segment!$B$2:$B$5, 0))</f>
        <v>SEG001</v>
      </c>
      <c r="N81" t="s">
        <v>54</v>
      </c>
      <c r="O81" s="2">
        <v>1</v>
      </c>
      <c r="P81" s="2">
        <v>200000</v>
      </c>
      <c r="Q81">
        <v>0.03</v>
      </c>
      <c r="R81" s="2">
        <v>194000</v>
      </c>
    </row>
    <row r="82" spans="1:18" x14ac:dyDescent="0.25">
      <c r="A82" t="s">
        <v>147</v>
      </c>
      <c r="B82" s="1">
        <v>45295</v>
      </c>
      <c r="C82" s="1" t="s">
        <v>18</v>
      </c>
      <c r="D82" t="s">
        <v>19</v>
      </c>
      <c r="E82" t="s">
        <v>142</v>
      </c>
      <c r="F82" t="s">
        <v>143</v>
      </c>
      <c r="G82" t="s">
        <v>144</v>
      </c>
      <c r="H82" t="s">
        <v>27</v>
      </c>
      <c r="I82" t="s">
        <v>35</v>
      </c>
      <c r="J82" t="s">
        <v>36</v>
      </c>
      <c r="K82" t="s">
        <v>32</v>
      </c>
      <c r="L82" t="s">
        <v>65</v>
      </c>
      <c r="M82" t="str">
        <f>INDEX( dim_segment!$A$2:$A$5,MATCH(L82,  dim_segment!$B$2:$B$5, 0))</f>
        <v>SEG003</v>
      </c>
      <c r="N82" t="s">
        <v>37</v>
      </c>
      <c r="O82" s="2">
        <v>3</v>
      </c>
      <c r="P82" s="2">
        <v>45000</v>
      </c>
      <c r="Q82">
        <v>0.04</v>
      </c>
      <c r="R82" s="2">
        <v>129600</v>
      </c>
    </row>
    <row r="83" spans="1:18" x14ac:dyDescent="0.25">
      <c r="A83" t="s">
        <v>148</v>
      </c>
      <c r="B83" s="1">
        <v>45306</v>
      </c>
      <c r="C83" s="1" t="s">
        <v>18</v>
      </c>
      <c r="D83" t="s">
        <v>19</v>
      </c>
      <c r="E83" t="s">
        <v>142</v>
      </c>
      <c r="F83" t="s">
        <v>143</v>
      </c>
      <c r="G83" t="s">
        <v>144</v>
      </c>
      <c r="H83" t="s">
        <v>27</v>
      </c>
      <c r="I83" t="s">
        <v>35</v>
      </c>
      <c r="J83" t="s">
        <v>36</v>
      </c>
      <c r="K83" t="s">
        <v>32</v>
      </c>
      <c r="L83" t="s">
        <v>23</v>
      </c>
      <c r="M83" t="str">
        <f>INDEX( dim_segment!$A$2:$A$5,MATCH(L83,  dim_segment!$B$2:$B$5, 0))</f>
        <v>SEG001</v>
      </c>
      <c r="N83" t="s">
        <v>37</v>
      </c>
      <c r="O83" s="2">
        <v>2</v>
      </c>
      <c r="P83" s="2">
        <v>45000</v>
      </c>
      <c r="Q83">
        <v>0.05</v>
      </c>
      <c r="R83" s="2">
        <v>85500</v>
      </c>
    </row>
    <row r="84" spans="1:18" x14ac:dyDescent="0.25">
      <c r="A84" t="s">
        <v>149</v>
      </c>
      <c r="B84" s="1">
        <v>45292</v>
      </c>
      <c r="C84" s="1" t="s">
        <v>18</v>
      </c>
      <c r="D84" t="s">
        <v>19</v>
      </c>
      <c r="E84" t="s">
        <v>142</v>
      </c>
      <c r="F84" t="s">
        <v>143</v>
      </c>
      <c r="G84" t="s">
        <v>144</v>
      </c>
      <c r="H84" t="s">
        <v>27</v>
      </c>
      <c r="I84" t="s">
        <v>40</v>
      </c>
      <c r="J84" t="s">
        <v>41</v>
      </c>
      <c r="K84" t="s">
        <v>42</v>
      </c>
      <c r="L84" t="s">
        <v>65</v>
      </c>
      <c r="M84" t="str">
        <f>INDEX( dim_segment!$A$2:$A$5,MATCH(L84,  dim_segment!$B$2:$B$5, 0))</f>
        <v>SEG003</v>
      </c>
      <c r="N84" t="s">
        <v>33</v>
      </c>
      <c r="O84" s="2">
        <v>4</v>
      </c>
      <c r="P84" s="2">
        <v>85000</v>
      </c>
      <c r="Q84">
        <v>0.01</v>
      </c>
      <c r="R84" s="2">
        <v>336600</v>
      </c>
    </row>
    <row r="85" spans="1:18" x14ac:dyDescent="0.25">
      <c r="A85" t="s">
        <v>150</v>
      </c>
      <c r="B85" s="1">
        <v>45316</v>
      </c>
      <c r="C85" s="1" t="s">
        <v>18</v>
      </c>
      <c r="D85" t="s">
        <v>19</v>
      </c>
      <c r="E85" t="s">
        <v>142</v>
      </c>
      <c r="F85" t="s">
        <v>143</v>
      </c>
      <c r="G85" t="s">
        <v>144</v>
      </c>
      <c r="H85" t="s">
        <v>27</v>
      </c>
      <c r="I85" t="s">
        <v>60</v>
      </c>
      <c r="J85" t="s">
        <v>61</v>
      </c>
      <c r="K85" t="s">
        <v>26</v>
      </c>
      <c r="L85" t="s">
        <v>65</v>
      </c>
      <c r="M85" t="str">
        <f>INDEX( dim_segment!$A$2:$A$5,MATCH(L85,  dim_segment!$B$2:$B$5, 0))</f>
        <v>SEG003</v>
      </c>
      <c r="N85" t="s">
        <v>28</v>
      </c>
      <c r="O85" s="2">
        <v>4</v>
      </c>
      <c r="P85" s="2">
        <v>95000</v>
      </c>
      <c r="Q85">
        <v>0.1</v>
      </c>
      <c r="R85" s="2">
        <v>342000</v>
      </c>
    </row>
    <row r="86" spans="1:18" x14ac:dyDescent="0.25">
      <c r="A86" t="s">
        <v>151</v>
      </c>
      <c r="B86" s="1">
        <v>45329</v>
      </c>
      <c r="C86" s="1" t="s">
        <v>46</v>
      </c>
      <c r="D86" t="s">
        <v>19</v>
      </c>
      <c r="E86" t="s">
        <v>142</v>
      </c>
      <c r="F86" t="s">
        <v>143</v>
      </c>
      <c r="G86" t="s">
        <v>144</v>
      </c>
      <c r="H86" t="s">
        <v>27</v>
      </c>
      <c r="I86" t="s">
        <v>40</v>
      </c>
      <c r="J86" t="s">
        <v>41</v>
      </c>
      <c r="K86" t="s">
        <v>42</v>
      </c>
      <c r="L86" t="s">
        <v>23</v>
      </c>
      <c r="M86" t="str">
        <f>INDEX( dim_segment!$A$2:$A$5,MATCH(L86,  dim_segment!$B$2:$B$5, 0))</f>
        <v>SEG001</v>
      </c>
      <c r="N86" t="s">
        <v>37</v>
      </c>
      <c r="O86" s="2">
        <v>3</v>
      </c>
      <c r="P86" s="2">
        <v>85000</v>
      </c>
      <c r="Q86">
        <v>0.05</v>
      </c>
      <c r="R86" s="2">
        <v>242200</v>
      </c>
    </row>
    <row r="87" spans="1:18" x14ac:dyDescent="0.25">
      <c r="A87" t="s">
        <v>152</v>
      </c>
      <c r="B87" s="1">
        <v>45342</v>
      </c>
      <c r="C87" s="1" t="s">
        <v>46</v>
      </c>
      <c r="D87" t="s">
        <v>19</v>
      </c>
      <c r="E87" t="s">
        <v>142</v>
      </c>
      <c r="F87" t="s">
        <v>143</v>
      </c>
      <c r="G87" t="s">
        <v>144</v>
      </c>
      <c r="H87" t="s">
        <v>27</v>
      </c>
      <c r="I87" t="s">
        <v>60</v>
      </c>
      <c r="J87" t="s">
        <v>61</v>
      </c>
      <c r="K87" t="s">
        <v>26</v>
      </c>
      <c r="L87" t="s">
        <v>23</v>
      </c>
      <c r="M87" t="str">
        <f>INDEX( dim_segment!$A$2:$A$5,MATCH(L87,  dim_segment!$B$2:$B$5, 0))</f>
        <v>SEG001</v>
      </c>
      <c r="N87" t="s">
        <v>54</v>
      </c>
      <c r="O87" s="2">
        <v>4</v>
      </c>
      <c r="P87" s="2">
        <v>95000</v>
      </c>
      <c r="Q87">
        <v>0.04</v>
      </c>
      <c r="R87" s="2">
        <v>364800</v>
      </c>
    </row>
    <row r="88" spans="1:18" x14ac:dyDescent="0.25">
      <c r="A88" t="s">
        <v>153</v>
      </c>
      <c r="B88" s="1">
        <v>45327</v>
      </c>
      <c r="C88" s="1" t="s">
        <v>46</v>
      </c>
      <c r="D88" t="s">
        <v>19</v>
      </c>
      <c r="E88" t="s">
        <v>142</v>
      </c>
      <c r="F88" t="s">
        <v>143</v>
      </c>
      <c r="G88" t="s">
        <v>144</v>
      </c>
      <c r="H88" t="s">
        <v>27</v>
      </c>
      <c r="I88" t="s">
        <v>51</v>
      </c>
      <c r="J88" t="s">
        <v>52</v>
      </c>
      <c r="K88" t="s">
        <v>42</v>
      </c>
      <c r="L88" t="s">
        <v>43</v>
      </c>
      <c r="M88" t="str">
        <f>INDEX( dim_segment!$A$2:$A$5,MATCH(L88,  dim_segment!$B$2:$B$5, 0))</f>
        <v>SEG004</v>
      </c>
      <c r="N88" t="s">
        <v>28</v>
      </c>
      <c r="O88" s="2">
        <v>5</v>
      </c>
      <c r="P88" s="2">
        <v>150000</v>
      </c>
      <c r="Q88">
        <v>0.01</v>
      </c>
      <c r="R88" s="2">
        <v>742500</v>
      </c>
    </row>
    <row r="89" spans="1:18" x14ac:dyDescent="0.25">
      <c r="A89" t="s">
        <v>154</v>
      </c>
      <c r="B89" s="1">
        <v>45323</v>
      </c>
      <c r="C89" s="1" t="s">
        <v>46</v>
      </c>
      <c r="D89" t="s">
        <v>19</v>
      </c>
      <c r="E89" t="s">
        <v>142</v>
      </c>
      <c r="F89" t="s">
        <v>143</v>
      </c>
      <c r="G89" t="s">
        <v>144</v>
      </c>
      <c r="H89" t="s">
        <v>27</v>
      </c>
      <c r="I89" t="s">
        <v>24</v>
      </c>
      <c r="J89" t="s">
        <v>25</v>
      </c>
      <c r="K89" t="s">
        <v>26</v>
      </c>
      <c r="L89" t="s">
        <v>23</v>
      </c>
      <c r="M89" t="str">
        <f>INDEX( dim_segment!$A$2:$A$5,MATCH(L89,  dim_segment!$B$2:$B$5, 0))</f>
        <v>SEG001</v>
      </c>
      <c r="N89" t="s">
        <v>37</v>
      </c>
      <c r="O89" s="2">
        <v>5</v>
      </c>
      <c r="P89" s="2">
        <v>75000</v>
      </c>
      <c r="Q89">
        <v>7.0000000000000007E-2</v>
      </c>
      <c r="R89" s="2">
        <v>348800</v>
      </c>
    </row>
    <row r="90" spans="1:18" x14ac:dyDescent="0.25">
      <c r="A90" t="s">
        <v>155</v>
      </c>
      <c r="B90" s="1">
        <v>45326</v>
      </c>
      <c r="C90" s="1" t="s">
        <v>46</v>
      </c>
      <c r="D90" t="s">
        <v>19</v>
      </c>
      <c r="E90" t="s">
        <v>142</v>
      </c>
      <c r="F90" t="s">
        <v>143</v>
      </c>
      <c r="G90" t="s">
        <v>144</v>
      </c>
      <c r="H90" t="s">
        <v>27</v>
      </c>
      <c r="I90" t="s">
        <v>35</v>
      </c>
      <c r="J90" t="s">
        <v>36</v>
      </c>
      <c r="K90" t="s">
        <v>32</v>
      </c>
      <c r="L90" t="s">
        <v>23</v>
      </c>
      <c r="M90" t="str">
        <f>INDEX( dim_segment!$A$2:$A$5,MATCH(L90,  dim_segment!$B$2:$B$5, 0))</f>
        <v>SEG001</v>
      </c>
      <c r="N90" t="s">
        <v>33</v>
      </c>
      <c r="O90" s="2">
        <v>2</v>
      </c>
      <c r="P90" s="2">
        <v>45000</v>
      </c>
      <c r="Q90">
        <v>0.08</v>
      </c>
      <c r="R90" s="2">
        <v>82800</v>
      </c>
    </row>
    <row r="91" spans="1:18" x14ac:dyDescent="0.25">
      <c r="A91" t="s">
        <v>156</v>
      </c>
      <c r="B91" s="1">
        <v>45349</v>
      </c>
      <c r="C91" s="1" t="s">
        <v>46</v>
      </c>
      <c r="D91" t="s">
        <v>19</v>
      </c>
      <c r="E91" t="s">
        <v>142</v>
      </c>
      <c r="F91" t="s">
        <v>143</v>
      </c>
      <c r="G91" t="s">
        <v>144</v>
      </c>
      <c r="H91" t="s">
        <v>27</v>
      </c>
      <c r="I91" t="s">
        <v>75</v>
      </c>
      <c r="J91" t="s">
        <v>76</v>
      </c>
      <c r="K91" t="s">
        <v>49</v>
      </c>
      <c r="L91" t="s">
        <v>65</v>
      </c>
      <c r="M91" t="str">
        <f>INDEX( dim_segment!$A$2:$A$5,MATCH(L91,  dim_segment!$B$2:$B$5, 0))</f>
        <v>SEG003</v>
      </c>
      <c r="N91" t="s">
        <v>28</v>
      </c>
      <c r="O91" s="2">
        <v>2</v>
      </c>
      <c r="P91" s="2">
        <v>120000</v>
      </c>
      <c r="Q91">
        <v>0.1</v>
      </c>
      <c r="R91" s="2">
        <v>216000</v>
      </c>
    </row>
    <row r="92" spans="1:18" x14ac:dyDescent="0.25">
      <c r="A92" t="s">
        <v>157</v>
      </c>
      <c r="B92" s="1">
        <v>45357</v>
      </c>
      <c r="C92" s="1" t="s">
        <v>56</v>
      </c>
      <c r="D92" t="s">
        <v>19</v>
      </c>
      <c r="E92" t="s">
        <v>142</v>
      </c>
      <c r="F92" t="s">
        <v>143</v>
      </c>
      <c r="G92" t="s">
        <v>144</v>
      </c>
      <c r="H92" t="s">
        <v>27</v>
      </c>
      <c r="I92" t="s">
        <v>24</v>
      </c>
      <c r="J92" t="s">
        <v>25</v>
      </c>
      <c r="K92" t="s">
        <v>26</v>
      </c>
      <c r="L92" t="s">
        <v>43</v>
      </c>
      <c r="M92" t="str">
        <f>INDEX( dim_segment!$A$2:$A$5,MATCH(L92,  dim_segment!$B$2:$B$5, 0))</f>
        <v>SEG004</v>
      </c>
      <c r="N92" t="s">
        <v>33</v>
      </c>
      <c r="O92" s="2">
        <v>1</v>
      </c>
      <c r="P92" s="2">
        <v>75000</v>
      </c>
      <c r="Q92">
        <v>0.04</v>
      </c>
      <c r="R92" s="2">
        <v>72000</v>
      </c>
    </row>
    <row r="93" spans="1:18" x14ac:dyDescent="0.25">
      <c r="A93" t="s">
        <v>158</v>
      </c>
      <c r="B93" s="1">
        <v>45368</v>
      </c>
      <c r="C93" s="1" t="s">
        <v>56</v>
      </c>
      <c r="D93" t="s">
        <v>19</v>
      </c>
      <c r="E93" t="s">
        <v>142</v>
      </c>
      <c r="F93" t="s">
        <v>143</v>
      </c>
      <c r="G93" t="s">
        <v>144</v>
      </c>
      <c r="H93" t="s">
        <v>27</v>
      </c>
      <c r="I93" t="s">
        <v>40</v>
      </c>
      <c r="J93" t="s">
        <v>41</v>
      </c>
      <c r="K93" t="s">
        <v>42</v>
      </c>
      <c r="L93" t="s">
        <v>65</v>
      </c>
      <c r="M93" t="str">
        <f>INDEX( dim_segment!$A$2:$A$5,MATCH(L93,  dim_segment!$B$2:$B$5, 0))</f>
        <v>SEG003</v>
      </c>
      <c r="N93" t="s">
        <v>37</v>
      </c>
      <c r="O93" s="2">
        <v>1</v>
      </c>
      <c r="P93" s="2">
        <v>85000</v>
      </c>
      <c r="Q93">
        <v>0.03</v>
      </c>
      <c r="R93" s="2">
        <v>82400</v>
      </c>
    </row>
    <row r="94" spans="1:18" x14ac:dyDescent="0.25">
      <c r="A94" t="s">
        <v>159</v>
      </c>
      <c r="B94" s="1">
        <v>45353</v>
      </c>
      <c r="C94" s="1" t="s">
        <v>56</v>
      </c>
      <c r="D94" t="s">
        <v>19</v>
      </c>
      <c r="E94" t="s">
        <v>142</v>
      </c>
      <c r="F94" t="s">
        <v>143</v>
      </c>
      <c r="G94" t="s">
        <v>144</v>
      </c>
      <c r="H94" t="s">
        <v>27</v>
      </c>
      <c r="I94" t="s">
        <v>30</v>
      </c>
      <c r="J94" t="s">
        <v>31</v>
      </c>
      <c r="K94" t="s">
        <v>32</v>
      </c>
      <c r="L94" t="s">
        <v>23</v>
      </c>
      <c r="M94" t="str">
        <f>INDEX( dim_segment!$A$2:$A$5,MATCH(L94,  dim_segment!$B$2:$B$5, 0))</f>
        <v>SEG001</v>
      </c>
      <c r="N94" t="s">
        <v>37</v>
      </c>
      <c r="O94" s="2">
        <v>3</v>
      </c>
      <c r="P94" s="2">
        <v>60000</v>
      </c>
      <c r="Q94">
        <v>0.09</v>
      </c>
      <c r="R94" s="2">
        <v>163800</v>
      </c>
    </row>
    <row r="95" spans="1:18" x14ac:dyDescent="0.25">
      <c r="A95" t="s">
        <v>160</v>
      </c>
      <c r="B95" s="1">
        <v>45361</v>
      </c>
      <c r="C95" s="1" t="s">
        <v>56</v>
      </c>
      <c r="D95" t="s">
        <v>19</v>
      </c>
      <c r="E95" t="s">
        <v>142</v>
      </c>
      <c r="F95" t="s">
        <v>143</v>
      </c>
      <c r="G95" t="s">
        <v>144</v>
      </c>
      <c r="H95" t="s">
        <v>27</v>
      </c>
      <c r="I95" t="s">
        <v>60</v>
      </c>
      <c r="J95" t="s">
        <v>61</v>
      </c>
      <c r="K95" t="s">
        <v>26</v>
      </c>
      <c r="L95" t="s">
        <v>43</v>
      </c>
      <c r="M95" t="str">
        <f>INDEX( dim_segment!$A$2:$A$5,MATCH(L95,  dim_segment!$B$2:$B$5, 0))</f>
        <v>SEG004</v>
      </c>
      <c r="N95" t="s">
        <v>28</v>
      </c>
      <c r="O95" s="2">
        <v>4</v>
      </c>
      <c r="P95" s="2">
        <v>95000</v>
      </c>
      <c r="Q95">
        <v>0.02</v>
      </c>
      <c r="R95" s="2">
        <v>372400</v>
      </c>
    </row>
    <row r="96" spans="1:18" x14ac:dyDescent="0.25">
      <c r="A96" t="s">
        <v>161</v>
      </c>
      <c r="B96" s="1">
        <v>45391</v>
      </c>
      <c r="C96" s="1" t="s">
        <v>67</v>
      </c>
      <c r="D96" t="s">
        <v>68</v>
      </c>
      <c r="E96" t="s">
        <v>142</v>
      </c>
      <c r="F96" t="s">
        <v>143</v>
      </c>
      <c r="G96" t="s">
        <v>144</v>
      </c>
      <c r="H96" t="s">
        <v>27</v>
      </c>
      <c r="I96" t="s">
        <v>75</v>
      </c>
      <c r="J96" t="s">
        <v>76</v>
      </c>
      <c r="K96" t="s">
        <v>49</v>
      </c>
      <c r="L96" t="s">
        <v>27</v>
      </c>
      <c r="M96" t="str">
        <f>INDEX( dim_segment!$A$2:$A$5,MATCH(L96,  dim_segment!$B$2:$B$5, 0))</f>
        <v>SEG002</v>
      </c>
      <c r="N96" t="s">
        <v>33</v>
      </c>
      <c r="O96" s="2">
        <v>4</v>
      </c>
      <c r="P96" s="2">
        <v>120000</v>
      </c>
      <c r="Q96">
        <v>0.03</v>
      </c>
      <c r="R96" s="2">
        <v>465600</v>
      </c>
    </row>
    <row r="97" spans="1:18" x14ac:dyDescent="0.25">
      <c r="A97" t="s">
        <v>162</v>
      </c>
      <c r="B97" s="1">
        <v>45399</v>
      </c>
      <c r="C97" s="1" t="s">
        <v>67</v>
      </c>
      <c r="D97" t="s">
        <v>68</v>
      </c>
      <c r="E97" t="s">
        <v>142</v>
      </c>
      <c r="F97" t="s">
        <v>143</v>
      </c>
      <c r="G97" t="s">
        <v>144</v>
      </c>
      <c r="H97" t="s">
        <v>27</v>
      </c>
      <c r="I97" t="s">
        <v>75</v>
      </c>
      <c r="J97" t="s">
        <v>76</v>
      </c>
      <c r="K97" t="s">
        <v>49</v>
      </c>
      <c r="L97" t="s">
        <v>27</v>
      </c>
      <c r="M97" t="str">
        <f>INDEX( dim_segment!$A$2:$A$5,MATCH(L97,  dim_segment!$B$2:$B$5, 0))</f>
        <v>SEG002</v>
      </c>
      <c r="N97" t="s">
        <v>28</v>
      </c>
      <c r="O97" s="2">
        <v>2</v>
      </c>
      <c r="P97" s="2">
        <v>120000</v>
      </c>
      <c r="Q97">
        <v>0.02</v>
      </c>
      <c r="R97" s="2">
        <v>235200</v>
      </c>
    </row>
    <row r="98" spans="1:18" x14ac:dyDescent="0.25">
      <c r="A98" t="s">
        <v>163</v>
      </c>
      <c r="B98" s="1">
        <v>45390</v>
      </c>
      <c r="C98" s="1" t="s">
        <v>67</v>
      </c>
      <c r="D98" t="s">
        <v>68</v>
      </c>
      <c r="E98" t="s">
        <v>142</v>
      </c>
      <c r="F98" t="s">
        <v>143</v>
      </c>
      <c r="G98" t="s">
        <v>144</v>
      </c>
      <c r="H98" t="s">
        <v>27</v>
      </c>
      <c r="I98" t="s">
        <v>47</v>
      </c>
      <c r="J98" t="s">
        <v>48</v>
      </c>
      <c r="K98" t="s">
        <v>49</v>
      </c>
      <c r="L98" t="s">
        <v>43</v>
      </c>
      <c r="M98" t="str">
        <f>INDEX( dim_segment!$A$2:$A$5,MATCH(L98,  dim_segment!$B$2:$B$5, 0))</f>
        <v>SEG004</v>
      </c>
      <c r="N98" t="s">
        <v>28</v>
      </c>
      <c r="O98" s="2">
        <v>5</v>
      </c>
      <c r="P98" s="2">
        <v>200000</v>
      </c>
      <c r="Q98">
        <v>0.06</v>
      </c>
      <c r="R98" s="2">
        <v>940000</v>
      </c>
    </row>
    <row r="99" spans="1:18" x14ac:dyDescent="0.25">
      <c r="A99" t="s">
        <v>164</v>
      </c>
      <c r="B99" s="1">
        <v>45406</v>
      </c>
      <c r="C99" s="1" t="s">
        <v>67</v>
      </c>
      <c r="D99" t="s">
        <v>68</v>
      </c>
      <c r="E99" t="s">
        <v>142</v>
      </c>
      <c r="F99" t="s">
        <v>143</v>
      </c>
      <c r="G99" t="s">
        <v>144</v>
      </c>
      <c r="H99" t="s">
        <v>27</v>
      </c>
      <c r="I99" t="s">
        <v>51</v>
      </c>
      <c r="J99" t="s">
        <v>52</v>
      </c>
      <c r="K99" t="s">
        <v>42</v>
      </c>
      <c r="L99" t="s">
        <v>43</v>
      </c>
      <c r="M99" t="str">
        <f>INDEX( dim_segment!$A$2:$A$5,MATCH(L99,  dim_segment!$B$2:$B$5, 0))</f>
        <v>SEG004</v>
      </c>
      <c r="N99" t="s">
        <v>54</v>
      </c>
      <c r="O99" s="2">
        <v>3</v>
      </c>
      <c r="P99" s="2">
        <v>150000</v>
      </c>
      <c r="Q99">
        <v>0.09</v>
      </c>
      <c r="R99" s="2">
        <v>409500</v>
      </c>
    </row>
    <row r="100" spans="1:18" x14ac:dyDescent="0.25">
      <c r="A100" t="s">
        <v>165</v>
      </c>
      <c r="B100" s="1">
        <v>45397</v>
      </c>
      <c r="C100" s="1" t="s">
        <v>67</v>
      </c>
      <c r="D100" t="s">
        <v>68</v>
      </c>
      <c r="E100" t="s">
        <v>142</v>
      </c>
      <c r="F100" t="s">
        <v>143</v>
      </c>
      <c r="G100" t="s">
        <v>144</v>
      </c>
      <c r="H100" t="s">
        <v>27</v>
      </c>
      <c r="I100" t="s">
        <v>51</v>
      </c>
      <c r="J100" t="s">
        <v>52</v>
      </c>
      <c r="K100" t="s">
        <v>42</v>
      </c>
      <c r="L100" t="s">
        <v>23</v>
      </c>
      <c r="M100" t="str">
        <f>INDEX( dim_segment!$A$2:$A$5,MATCH(L100,  dim_segment!$B$2:$B$5, 0))</f>
        <v>SEG001</v>
      </c>
      <c r="N100" t="s">
        <v>54</v>
      </c>
      <c r="O100" s="2">
        <v>4</v>
      </c>
      <c r="P100" s="2">
        <v>150000</v>
      </c>
      <c r="Q100">
        <v>0.01</v>
      </c>
      <c r="R100" s="2">
        <v>594000</v>
      </c>
    </row>
    <row r="101" spans="1:18" x14ac:dyDescent="0.25">
      <c r="A101" t="s">
        <v>166</v>
      </c>
      <c r="B101" s="1">
        <v>45385</v>
      </c>
      <c r="C101" s="1" t="s">
        <v>67</v>
      </c>
      <c r="D101" t="s">
        <v>68</v>
      </c>
      <c r="E101" t="s">
        <v>142</v>
      </c>
      <c r="F101" t="s">
        <v>143</v>
      </c>
      <c r="G101" t="s">
        <v>144</v>
      </c>
      <c r="H101" t="s">
        <v>27</v>
      </c>
      <c r="I101" t="s">
        <v>51</v>
      </c>
      <c r="J101" t="s">
        <v>52</v>
      </c>
      <c r="K101" t="s">
        <v>42</v>
      </c>
      <c r="L101" t="s">
        <v>27</v>
      </c>
      <c r="M101" t="str">
        <f>INDEX( dim_segment!$A$2:$A$5,MATCH(L101,  dim_segment!$B$2:$B$5, 0))</f>
        <v>SEG002</v>
      </c>
      <c r="N101" t="s">
        <v>37</v>
      </c>
      <c r="O101" s="2">
        <v>2</v>
      </c>
      <c r="P101" s="2">
        <v>150000</v>
      </c>
      <c r="Q101">
        <v>0.1</v>
      </c>
      <c r="R101" s="2">
        <v>270000</v>
      </c>
    </row>
    <row r="102" spans="1:18" x14ac:dyDescent="0.25">
      <c r="A102" t="s">
        <v>167</v>
      </c>
      <c r="B102" s="1">
        <v>45391</v>
      </c>
      <c r="C102" s="1" t="s">
        <v>67</v>
      </c>
      <c r="D102" t="s">
        <v>68</v>
      </c>
      <c r="E102" t="s">
        <v>142</v>
      </c>
      <c r="F102" t="s">
        <v>143</v>
      </c>
      <c r="G102" t="s">
        <v>144</v>
      </c>
      <c r="H102" t="s">
        <v>27</v>
      </c>
      <c r="I102" t="s">
        <v>35</v>
      </c>
      <c r="J102" t="s">
        <v>36</v>
      </c>
      <c r="K102" t="s">
        <v>32</v>
      </c>
      <c r="L102" t="s">
        <v>65</v>
      </c>
      <c r="M102" t="str">
        <f>INDEX( dim_segment!$A$2:$A$5,MATCH(L102,  dim_segment!$B$2:$B$5, 0))</f>
        <v>SEG003</v>
      </c>
      <c r="N102" t="s">
        <v>28</v>
      </c>
      <c r="O102" s="2">
        <v>1</v>
      </c>
      <c r="P102" s="2">
        <v>45000</v>
      </c>
      <c r="Q102">
        <v>0.02</v>
      </c>
      <c r="R102" s="2">
        <v>44100</v>
      </c>
    </row>
    <row r="103" spans="1:18" x14ac:dyDescent="0.25">
      <c r="A103" t="s">
        <v>168</v>
      </c>
      <c r="B103" s="1">
        <v>45423</v>
      </c>
      <c r="C103" s="1" t="s">
        <v>78</v>
      </c>
      <c r="D103" t="s">
        <v>68</v>
      </c>
      <c r="E103" t="s">
        <v>142</v>
      </c>
      <c r="F103" t="s">
        <v>143</v>
      </c>
      <c r="G103" t="s">
        <v>144</v>
      </c>
      <c r="H103" t="s">
        <v>27</v>
      </c>
      <c r="I103" t="s">
        <v>35</v>
      </c>
      <c r="J103" t="s">
        <v>36</v>
      </c>
      <c r="K103" t="s">
        <v>32</v>
      </c>
      <c r="L103" t="s">
        <v>23</v>
      </c>
      <c r="M103" t="str">
        <f>INDEX( dim_segment!$A$2:$A$5,MATCH(L103,  dim_segment!$B$2:$B$5, 0))</f>
        <v>SEG001</v>
      </c>
      <c r="N103" t="s">
        <v>28</v>
      </c>
      <c r="O103" s="2">
        <v>1</v>
      </c>
      <c r="P103" s="2">
        <v>45000</v>
      </c>
      <c r="Q103">
        <v>7.0000000000000007E-2</v>
      </c>
      <c r="R103" s="2">
        <v>41800</v>
      </c>
    </row>
    <row r="104" spans="1:18" x14ac:dyDescent="0.25">
      <c r="A104" t="s">
        <v>169</v>
      </c>
      <c r="B104" s="1">
        <v>45414</v>
      </c>
      <c r="C104" s="1" t="s">
        <v>78</v>
      </c>
      <c r="D104" t="s">
        <v>68</v>
      </c>
      <c r="E104" t="s">
        <v>142</v>
      </c>
      <c r="F104" t="s">
        <v>143</v>
      </c>
      <c r="G104" t="s">
        <v>144</v>
      </c>
      <c r="H104" t="s">
        <v>27</v>
      </c>
      <c r="I104" t="s">
        <v>75</v>
      </c>
      <c r="J104" t="s">
        <v>76</v>
      </c>
      <c r="K104" t="s">
        <v>49</v>
      </c>
      <c r="L104" t="s">
        <v>43</v>
      </c>
      <c r="M104" t="str">
        <f>INDEX( dim_segment!$A$2:$A$5,MATCH(L104,  dim_segment!$B$2:$B$5, 0))</f>
        <v>SEG004</v>
      </c>
      <c r="N104" t="s">
        <v>37</v>
      </c>
      <c r="O104" s="2">
        <v>4</v>
      </c>
      <c r="P104" s="2">
        <v>120000</v>
      </c>
      <c r="Q104">
        <v>0.04</v>
      </c>
      <c r="R104" s="2">
        <v>460800</v>
      </c>
    </row>
    <row r="105" spans="1:18" x14ac:dyDescent="0.25">
      <c r="A105" t="s">
        <v>170</v>
      </c>
      <c r="B105" s="1">
        <v>45419</v>
      </c>
      <c r="C105" s="1" t="s">
        <v>78</v>
      </c>
      <c r="D105" t="s">
        <v>68</v>
      </c>
      <c r="E105" t="s">
        <v>142</v>
      </c>
      <c r="F105" t="s">
        <v>143</v>
      </c>
      <c r="G105" t="s">
        <v>144</v>
      </c>
      <c r="H105" t="s">
        <v>27</v>
      </c>
      <c r="I105" t="s">
        <v>60</v>
      </c>
      <c r="J105" t="s">
        <v>61</v>
      </c>
      <c r="K105" t="s">
        <v>26</v>
      </c>
      <c r="L105" t="s">
        <v>65</v>
      </c>
      <c r="M105" t="str">
        <f>INDEX( dim_segment!$A$2:$A$5,MATCH(L105,  dim_segment!$B$2:$B$5, 0))</f>
        <v>SEG003</v>
      </c>
      <c r="N105" t="s">
        <v>28</v>
      </c>
      <c r="O105" s="2">
        <v>5</v>
      </c>
      <c r="P105" s="2">
        <v>95000</v>
      </c>
      <c r="Q105">
        <v>7.0000000000000007E-2</v>
      </c>
      <c r="R105" s="2">
        <v>441700</v>
      </c>
    </row>
    <row r="106" spans="1:18" x14ac:dyDescent="0.25">
      <c r="A106" t="s">
        <v>171</v>
      </c>
      <c r="B106" s="1">
        <v>45430</v>
      </c>
      <c r="C106" s="1" t="s">
        <v>78</v>
      </c>
      <c r="D106" t="s">
        <v>68</v>
      </c>
      <c r="E106" t="s">
        <v>142</v>
      </c>
      <c r="F106" t="s">
        <v>143</v>
      </c>
      <c r="G106" t="s">
        <v>144</v>
      </c>
      <c r="H106" t="s">
        <v>27</v>
      </c>
      <c r="I106" t="s">
        <v>51</v>
      </c>
      <c r="J106" t="s">
        <v>52</v>
      </c>
      <c r="K106" t="s">
        <v>42</v>
      </c>
      <c r="L106" t="s">
        <v>27</v>
      </c>
      <c r="M106" t="str">
        <f>INDEX( dim_segment!$A$2:$A$5,MATCH(L106,  dim_segment!$B$2:$B$5, 0))</f>
        <v>SEG002</v>
      </c>
      <c r="N106" t="s">
        <v>28</v>
      </c>
      <c r="O106" s="2">
        <v>3</v>
      </c>
      <c r="P106" s="2">
        <v>150000</v>
      </c>
      <c r="Q106">
        <v>0.08</v>
      </c>
      <c r="R106" s="2">
        <v>414000</v>
      </c>
    </row>
    <row r="107" spans="1:18" x14ac:dyDescent="0.25">
      <c r="A107" t="s">
        <v>172</v>
      </c>
      <c r="B107" s="1">
        <v>45432</v>
      </c>
      <c r="C107" s="1" t="s">
        <v>78</v>
      </c>
      <c r="D107" t="s">
        <v>68</v>
      </c>
      <c r="E107" t="s">
        <v>142</v>
      </c>
      <c r="F107" t="s">
        <v>143</v>
      </c>
      <c r="G107" t="s">
        <v>144</v>
      </c>
      <c r="H107" t="s">
        <v>27</v>
      </c>
      <c r="I107" t="s">
        <v>24</v>
      </c>
      <c r="J107" t="s">
        <v>25</v>
      </c>
      <c r="K107" t="s">
        <v>26</v>
      </c>
      <c r="L107" t="s">
        <v>65</v>
      </c>
      <c r="M107" t="str">
        <f>INDEX( dim_segment!$A$2:$A$5,MATCH(L107,  dim_segment!$B$2:$B$5, 0))</f>
        <v>SEG003</v>
      </c>
      <c r="N107" t="s">
        <v>28</v>
      </c>
      <c r="O107" s="2">
        <v>4</v>
      </c>
      <c r="P107" s="2">
        <v>75000</v>
      </c>
      <c r="Q107">
        <v>0.12</v>
      </c>
      <c r="R107" s="2">
        <v>264000</v>
      </c>
    </row>
    <row r="108" spans="1:18" x14ac:dyDescent="0.25">
      <c r="A108" t="s">
        <v>173</v>
      </c>
      <c r="B108" s="1">
        <v>45431</v>
      </c>
      <c r="C108" s="1" t="s">
        <v>78</v>
      </c>
      <c r="D108" t="s">
        <v>68</v>
      </c>
      <c r="E108" t="s">
        <v>142</v>
      </c>
      <c r="F108" t="s">
        <v>143</v>
      </c>
      <c r="G108" t="s">
        <v>144</v>
      </c>
      <c r="H108" t="s">
        <v>27</v>
      </c>
      <c r="I108" t="s">
        <v>75</v>
      </c>
      <c r="J108" t="s">
        <v>76</v>
      </c>
      <c r="K108" t="s">
        <v>49</v>
      </c>
      <c r="L108" t="s">
        <v>65</v>
      </c>
      <c r="M108" t="str">
        <f>INDEX( dim_segment!$A$2:$A$5,MATCH(L108,  dim_segment!$B$2:$B$5, 0))</f>
        <v>SEG003</v>
      </c>
      <c r="N108" t="s">
        <v>28</v>
      </c>
      <c r="O108" s="2">
        <v>1</v>
      </c>
      <c r="P108" s="2">
        <v>120000</v>
      </c>
      <c r="Q108">
        <v>0</v>
      </c>
      <c r="R108" s="2">
        <v>120000</v>
      </c>
    </row>
    <row r="109" spans="1:18" x14ac:dyDescent="0.25">
      <c r="A109" t="s">
        <v>174</v>
      </c>
      <c r="B109" s="1">
        <v>45461</v>
      </c>
      <c r="C109" s="1" t="s">
        <v>84</v>
      </c>
      <c r="D109" t="s">
        <v>68</v>
      </c>
      <c r="E109" t="s">
        <v>142</v>
      </c>
      <c r="F109" t="s">
        <v>143</v>
      </c>
      <c r="G109" t="s">
        <v>144</v>
      </c>
      <c r="H109" t="s">
        <v>27</v>
      </c>
      <c r="I109" t="s">
        <v>30</v>
      </c>
      <c r="J109" t="s">
        <v>31</v>
      </c>
      <c r="K109" t="s">
        <v>32</v>
      </c>
      <c r="L109" t="s">
        <v>65</v>
      </c>
      <c r="M109" t="str">
        <f>INDEX( dim_segment!$A$2:$A$5,MATCH(L109,  dim_segment!$B$2:$B$5, 0))</f>
        <v>SEG003</v>
      </c>
      <c r="N109" t="s">
        <v>37</v>
      </c>
      <c r="O109" s="2">
        <v>4</v>
      </c>
      <c r="P109" s="2">
        <v>60000</v>
      </c>
      <c r="Q109">
        <v>0.01</v>
      </c>
      <c r="R109" s="2">
        <v>237600</v>
      </c>
    </row>
    <row r="110" spans="1:18" x14ac:dyDescent="0.25">
      <c r="A110" t="s">
        <v>175</v>
      </c>
      <c r="B110" s="1">
        <v>45466</v>
      </c>
      <c r="C110" s="1" t="s">
        <v>84</v>
      </c>
      <c r="D110" t="s">
        <v>68</v>
      </c>
      <c r="E110" t="s">
        <v>142</v>
      </c>
      <c r="F110" t="s">
        <v>143</v>
      </c>
      <c r="G110" t="s">
        <v>144</v>
      </c>
      <c r="H110" t="s">
        <v>27</v>
      </c>
      <c r="I110" t="s">
        <v>47</v>
      </c>
      <c r="J110" t="s">
        <v>48</v>
      </c>
      <c r="K110" t="s">
        <v>49</v>
      </c>
      <c r="L110" t="s">
        <v>23</v>
      </c>
      <c r="M110" t="str">
        <f>INDEX( dim_segment!$A$2:$A$5,MATCH(L110,  dim_segment!$B$2:$B$5, 0))</f>
        <v>SEG001</v>
      </c>
      <c r="N110" t="s">
        <v>37</v>
      </c>
      <c r="O110" s="2">
        <v>2</v>
      </c>
      <c r="P110" s="2">
        <v>200000</v>
      </c>
      <c r="Q110">
        <v>7.0000000000000007E-2</v>
      </c>
      <c r="R110" s="2">
        <v>372000</v>
      </c>
    </row>
    <row r="111" spans="1:18" x14ac:dyDescent="0.25">
      <c r="A111" t="s">
        <v>176</v>
      </c>
      <c r="B111" s="1">
        <v>45464</v>
      </c>
      <c r="C111" s="1" t="s">
        <v>84</v>
      </c>
      <c r="D111" t="s">
        <v>68</v>
      </c>
      <c r="E111" t="s">
        <v>142</v>
      </c>
      <c r="F111" t="s">
        <v>143</v>
      </c>
      <c r="G111" t="s">
        <v>144</v>
      </c>
      <c r="H111" t="s">
        <v>27</v>
      </c>
      <c r="I111" t="s">
        <v>51</v>
      </c>
      <c r="J111" t="s">
        <v>52</v>
      </c>
      <c r="K111" t="s">
        <v>42</v>
      </c>
      <c r="L111" t="s">
        <v>27</v>
      </c>
      <c r="M111" t="str">
        <f>INDEX( dim_segment!$A$2:$A$5,MATCH(L111,  dim_segment!$B$2:$B$5, 0))</f>
        <v>SEG002</v>
      </c>
      <c r="N111" t="s">
        <v>54</v>
      </c>
      <c r="O111" s="2">
        <v>3</v>
      </c>
      <c r="P111" s="2">
        <v>150000</v>
      </c>
      <c r="Q111">
        <v>0.05</v>
      </c>
      <c r="R111" s="2">
        <v>427500</v>
      </c>
    </row>
    <row r="112" spans="1:18" x14ac:dyDescent="0.25">
      <c r="A112" t="s">
        <v>177</v>
      </c>
      <c r="B112" s="1">
        <v>45457</v>
      </c>
      <c r="C112" s="1" t="s">
        <v>84</v>
      </c>
      <c r="D112" t="s">
        <v>68</v>
      </c>
      <c r="E112" t="s">
        <v>142</v>
      </c>
      <c r="F112" t="s">
        <v>143</v>
      </c>
      <c r="G112" t="s">
        <v>144</v>
      </c>
      <c r="H112" t="s">
        <v>27</v>
      </c>
      <c r="I112" t="s">
        <v>30</v>
      </c>
      <c r="J112" t="s">
        <v>31</v>
      </c>
      <c r="K112" t="s">
        <v>32</v>
      </c>
      <c r="L112" t="s">
        <v>43</v>
      </c>
      <c r="M112" t="str">
        <f>INDEX( dim_segment!$A$2:$A$5,MATCH(L112,  dim_segment!$B$2:$B$5, 0))</f>
        <v>SEG004</v>
      </c>
      <c r="N112" t="s">
        <v>37</v>
      </c>
      <c r="O112" s="2">
        <v>1</v>
      </c>
      <c r="P112" s="2">
        <v>60000</v>
      </c>
      <c r="Q112">
        <v>0.06</v>
      </c>
      <c r="R112" s="2">
        <v>56400</v>
      </c>
    </row>
    <row r="113" spans="1:18" x14ac:dyDescent="0.25">
      <c r="A113" t="s">
        <v>178</v>
      </c>
      <c r="B113" s="1">
        <v>45480</v>
      </c>
      <c r="C113" s="1" t="s">
        <v>92</v>
      </c>
      <c r="D113" t="s">
        <v>93</v>
      </c>
      <c r="E113" t="s">
        <v>142</v>
      </c>
      <c r="F113" t="s">
        <v>143</v>
      </c>
      <c r="G113" t="s">
        <v>144</v>
      </c>
      <c r="H113" t="s">
        <v>27</v>
      </c>
      <c r="I113" t="s">
        <v>24</v>
      </c>
      <c r="J113" t="s">
        <v>25</v>
      </c>
      <c r="K113" t="s">
        <v>26</v>
      </c>
      <c r="L113" t="s">
        <v>65</v>
      </c>
      <c r="M113" t="str">
        <f>INDEX( dim_segment!$A$2:$A$5,MATCH(L113,  dim_segment!$B$2:$B$5, 0))</f>
        <v>SEG003</v>
      </c>
      <c r="N113" t="s">
        <v>28</v>
      </c>
      <c r="O113" s="2">
        <v>3</v>
      </c>
      <c r="P113" s="2">
        <v>75000</v>
      </c>
      <c r="Q113">
        <v>0.01</v>
      </c>
      <c r="R113" s="2">
        <v>222800</v>
      </c>
    </row>
    <row r="114" spans="1:18" x14ac:dyDescent="0.25">
      <c r="A114" t="s">
        <v>179</v>
      </c>
      <c r="B114" s="1">
        <v>45474</v>
      </c>
      <c r="C114" s="1" t="s">
        <v>92</v>
      </c>
      <c r="D114" t="s">
        <v>93</v>
      </c>
      <c r="E114" t="s">
        <v>142</v>
      </c>
      <c r="F114" t="s">
        <v>143</v>
      </c>
      <c r="G114" t="s">
        <v>144</v>
      </c>
      <c r="H114" t="s">
        <v>27</v>
      </c>
      <c r="I114" t="s">
        <v>40</v>
      </c>
      <c r="J114" t="s">
        <v>41</v>
      </c>
      <c r="K114" t="s">
        <v>42</v>
      </c>
      <c r="L114" t="s">
        <v>65</v>
      </c>
      <c r="M114" t="str">
        <f>INDEX( dim_segment!$A$2:$A$5,MATCH(L114,  dim_segment!$B$2:$B$5, 0))</f>
        <v>SEG003</v>
      </c>
      <c r="N114" t="s">
        <v>33</v>
      </c>
      <c r="O114" s="2">
        <v>3</v>
      </c>
      <c r="P114" s="2">
        <v>85000</v>
      </c>
      <c r="Q114">
        <v>0.08</v>
      </c>
      <c r="R114" s="2">
        <v>234600</v>
      </c>
    </row>
    <row r="115" spans="1:18" x14ac:dyDescent="0.25">
      <c r="A115" t="s">
        <v>180</v>
      </c>
      <c r="B115" s="1">
        <v>45477</v>
      </c>
      <c r="C115" s="1" t="s">
        <v>92</v>
      </c>
      <c r="D115" t="s">
        <v>93</v>
      </c>
      <c r="E115" t="s">
        <v>142</v>
      </c>
      <c r="F115" t="s">
        <v>143</v>
      </c>
      <c r="G115" t="s">
        <v>144</v>
      </c>
      <c r="H115" t="s">
        <v>27</v>
      </c>
      <c r="I115" t="s">
        <v>47</v>
      </c>
      <c r="J115" t="s">
        <v>48</v>
      </c>
      <c r="K115" t="s">
        <v>49</v>
      </c>
      <c r="L115" t="s">
        <v>65</v>
      </c>
      <c r="M115" t="str">
        <f>INDEX( dim_segment!$A$2:$A$5,MATCH(L115,  dim_segment!$B$2:$B$5, 0))</f>
        <v>SEG003</v>
      </c>
      <c r="N115" t="s">
        <v>37</v>
      </c>
      <c r="O115" s="2">
        <v>5</v>
      </c>
      <c r="P115" s="2">
        <v>200000</v>
      </c>
      <c r="Q115">
        <v>0.03</v>
      </c>
      <c r="R115" s="2">
        <v>970000</v>
      </c>
    </row>
    <row r="116" spans="1:18" x14ac:dyDescent="0.25">
      <c r="A116" t="s">
        <v>181</v>
      </c>
      <c r="B116" s="1">
        <v>45500</v>
      </c>
      <c r="C116" s="1" t="s">
        <v>92</v>
      </c>
      <c r="D116" t="s">
        <v>93</v>
      </c>
      <c r="E116" t="s">
        <v>142</v>
      </c>
      <c r="F116" t="s">
        <v>143</v>
      </c>
      <c r="G116" t="s">
        <v>144</v>
      </c>
      <c r="H116" t="s">
        <v>27</v>
      </c>
      <c r="I116" t="s">
        <v>24</v>
      </c>
      <c r="J116" t="s">
        <v>25</v>
      </c>
      <c r="K116" t="s">
        <v>26</v>
      </c>
      <c r="L116" t="s">
        <v>27</v>
      </c>
      <c r="M116" t="str">
        <f>INDEX( dim_segment!$A$2:$A$5,MATCH(L116,  dim_segment!$B$2:$B$5, 0))</f>
        <v>SEG002</v>
      </c>
      <c r="N116" t="s">
        <v>37</v>
      </c>
      <c r="O116" s="2">
        <v>2</v>
      </c>
      <c r="P116" s="2">
        <v>75000</v>
      </c>
      <c r="Q116">
        <v>0.02</v>
      </c>
      <c r="R116" s="2">
        <v>147000</v>
      </c>
    </row>
    <row r="117" spans="1:18" x14ac:dyDescent="0.25">
      <c r="A117" t="s">
        <v>182</v>
      </c>
      <c r="B117" s="1">
        <v>45482</v>
      </c>
      <c r="C117" s="1" t="s">
        <v>92</v>
      </c>
      <c r="D117" t="s">
        <v>93</v>
      </c>
      <c r="E117" t="s">
        <v>142</v>
      </c>
      <c r="F117" t="s">
        <v>143</v>
      </c>
      <c r="G117" t="s">
        <v>144</v>
      </c>
      <c r="H117" t="s">
        <v>27</v>
      </c>
      <c r="I117" t="s">
        <v>51</v>
      </c>
      <c r="J117" t="s">
        <v>52</v>
      </c>
      <c r="K117" t="s">
        <v>42</v>
      </c>
      <c r="L117" t="s">
        <v>27</v>
      </c>
      <c r="M117" t="str">
        <f>INDEX( dim_segment!$A$2:$A$5,MATCH(L117,  dim_segment!$B$2:$B$5, 0))</f>
        <v>SEG002</v>
      </c>
      <c r="N117" t="s">
        <v>28</v>
      </c>
      <c r="O117" s="2">
        <v>5</v>
      </c>
      <c r="P117" s="2">
        <v>150000</v>
      </c>
      <c r="Q117">
        <v>0.06</v>
      </c>
      <c r="R117" s="2">
        <v>705000</v>
      </c>
    </row>
    <row r="118" spans="1:18" x14ac:dyDescent="0.25">
      <c r="A118" t="s">
        <v>183</v>
      </c>
      <c r="B118" s="1">
        <v>45482</v>
      </c>
      <c r="C118" s="1" t="s">
        <v>92</v>
      </c>
      <c r="D118" t="s">
        <v>93</v>
      </c>
      <c r="E118" t="s">
        <v>142</v>
      </c>
      <c r="F118" t="s">
        <v>143</v>
      </c>
      <c r="G118" t="s">
        <v>144</v>
      </c>
      <c r="H118" t="s">
        <v>27</v>
      </c>
      <c r="I118" t="s">
        <v>24</v>
      </c>
      <c r="J118" t="s">
        <v>25</v>
      </c>
      <c r="K118" t="s">
        <v>26</v>
      </c>
      <c r="L118" t="s">
        <v>65</v>
      </c>
      <c r="M118" t="str">
        <f>INDEX( dim_segment!$A$2:$A$5,MATCH(L118,  dim_segment!$B$2:$B$5, 0))</f>
        <v>SEG003</v>
      </c>
      <c r="N118" t="s">
        <v>33</v>
      </c>
      <c r="O118" s="2">
        <v>5</v>
      </c>
      <c r="P118" s="2">
        <v>75000</v>
      </c>
      <c r="Q118">
        <v>7.0000000000000007E-2</v>
      </c>
      <c r="R118" s="2">
        <v>348800</v>
      </c>
    </row>
    <row r="119" spans="1:18" x14ac:dyDescent="0.25">
      <c r="A119" t="s">
        <v>184</v>
      </c>
      <c r="B119" s="1">
        <v>45485</v>
      </c>
      <c r="C119" s="1" t="s">
        <v>92</v>
      </c>
      <c r="D119" t="s">
        <v>93</v>
      </c>
      <c r="E119" t="s">
        <v>142</v>
      </c>
      <c r="F119" t="s">
        <v>143</v>
      </c>
      <c r="G119" t="s">
        <v>144</v>
      </c>
      <c r="H119" t="s">
        <v>27</v>
      </c>
      <c r="I119" t="s">
        <v>24</v>
      </c>
      <c r="J119" t="s">
        <v>25</v>
      </c>
      <c r="K119" t="s">
        <v>26</v>
      </c>
      <c r="L119" t="s">
        <v>23</v>
      </c>
      <c r="M119" t="str">
        <f>INDEX( dim_segment!$A$2:$A$5,MATCH(L119,  dim_segment!$B$2:$B$5, 0))</f>
        <v>SEG001</v>
      </c>
      <c r="N119" t="s">
        <v>33</v>
      </c>
      <c r="O119" s="2">
        <v>1</v>
      </c>
      <c r="P119" s="2">
        <v>75000</v>
      </c>
      <c r="Q119">
        <v>0.1</v>
      </c>
      <c r="R119" s="2">
        <v>67500</v>
      </c>
    </row>
    <row r="120" spans="1:18" x14ac:dyDescent="0.25">
      <c r="A120" t="s">
        <v>185</v>
      </c>
      <c r="B120" s="1">
        <v>45489</v>
      </c>
      <c r="C120" s="1" t="s">
        <v>92</v>
      </c>
      <c r="D120" t="s">
        <v>93</v>
      </c>
      <c r="E120" t="s">
        <v>142</v>
      </c>
      <c r="F120" t="s">
        <v>143</v>
      </c>
      <c r="G120" t="s">
        <v>144</v>
      </c>
      <c r="H120" t="s">
        <v>27</v>
      </c>
      <c r="I120" t="s">
        <v>35</v>
      </c>
      <c r="J120" t="s">
        <v>36</v>
      </c>
      <c r="K120" t="s">
        <v>32</v>
      </c>
      <c r="L120" t="s">
        <v>65</v>
      </c>
      <c r="M120" t="str">
        <f>INDEX( dim_segment!$A$2:$A$5,MATCH(L120,  dim_segment!$B$2:$B$5, 0))</f>
        <v>SEG003</v>
      </c>
      <c r="N120" t="s">
        <v>28</v>
      </c>
      <c r="O120" s="2">
        <v>4</v>
      </c>
      <c r="P120" s="2">
        <v>45000</v>
      </c>
      <c r="Q120">
        <v>0.08</v>
      </c>
      <c r="R120" s="2">
        <v>165600</v>
      </c>
    </row>
    <row r="121" spans="1:18" x14ac:dyDescent="0.25">
      <c r="A121" t="s">
        <v>186</v>
      </c>
      <c r="B121" s="1">
        <v>45499</v>
      </c>
      <c r="C121" s="1" t="s">
        <v>92</v>
      </c>
      <c r="D121" t="s">
        <v>93</v>
      </c>
      <c r="E121" t="s">
        <v>142</v>
      </c>
      <c r="F121" t="s">
        <v>143</v>
      </c>
      <c r="G121" t="s">
        <v>144</v>
      </c>
      <c r="H121" t="s">
        <v>27</v>
      </c>
      <c r="I121" t="s">
        <v>51</v>
      </c>
      <c r="J121" t="s">
        <v>52</v>
      </c>
      <c r="K121" t="s">
        <v>42</v>
      </c>
      <c r="L121" t="s">
        <v>23</v>
      </c>
      <c r="M121" t="str">
        <f>INDEX( dim_segment!$A$2:$A$5,MATCH(L121,  dim_segment!$B$2:$B$5, 0))</f>
        <v>SEG001</v>
      </c>
      <c r="N121" t="s">
        <v>37</v>
      </c>
      <c r="O121" s="2">
        <v>2</v>
      </c>
      <c r="P121" s="2">
        <v>150000</v>
      </c>
      <c r="Q121">
        <v>0.05</v>
      </c>
      <c r="R121" s="2">
        <v>285000</v>
      </c>
    </row>
    <row r="122" spans="1:18" x14ac:dyDescent="0.25">
      <c r="A122" t="s">
        <v>187</v>
      </c>
      <c r="B122" s="1">
        <v>45522</v>
      </c>
      <c r="C122" s="1" t="s">
        <v>102</v>
      </c>
      <c r="D122" t="s">
        <v>93</v>
      </c>
      <c r="E122" t="s">
        <v>142</v>
      </c>
      <c r="F122" t="s">
        <v>143</v>
      </c>
      <c r="G122" t="s">
        <v>144</v>
      </c>
      <c r="H122" t="s">
        <v>27</v>
      </c>
      <c r="I122" t="s">
        <v>30</v>
      </c>
      <c r="J122" t="s">
        <v>31</v>
      </c>
      <c r="K122" t="s">
        <v>32</v>
      </c>
      <c r="L122" t="s">
        <v>23</v>
      </c>
      <c r="M122" t="str">
        <f>INDEX( dim_segment!$A$2:$A$5,MATCH(L122,  dim_segment!$B$2:$B$5, 0))</f>
        <v>SEG001</v>
      </c>
      <c r="N122" t="s">
        <v>54</v>
      </c>
      <c r="O122" s="2">
        <v>3</v>
      </c>
      <c r="P122" s="2">
        <v>60000</v>
      </c>
      <c r="Q122">
        <v>0.09</v>
      </c>
      <c r="R122" s="2">
        <v>163800</v>
      </c>
    </row>
    <row r="123" spans="1:18" x14ac:dyDescent="0.25">
      <c r="A123" t="s">
        <v>188</v>
      </c>
      <c r="B123" s="1">
        <v>45505</v>
      </c>
      <c r="C123" s="1" t="s">
        <v>102</v>
      </c>
      <c r="D123" t="s">
        <v>93</v>
      </c>
      <c r="E123" t="s">
        <v>142</v>
      </c>
      <c r="F123" t="s">
        <v>143</v>
      </c>
      <c r="G123" t="s">
        <v>144</v>
      </c>
      <c r="H123" t="s">
        <v>27</v>
      </c>
      <c r="I123" t="s">
        <v>51</v>
      </c>
      <c r="J123" t="s">
        <v>52</v>
      </c>
      <c r="K123" t="s">
        <v>42</v>
      </c>
      <c r="L123" t="s">
        <v>43</v>
      </c>
      <c r="M123" t="str">
        <f>INDEX( dim_segment!$A$2:$A$5,MATCH(L123,  dim_segment!$B$2:$B$5, 0))</f>
        <v>SEG004</v>
      </c>
      <c r="N123" t="s">
        <v>28</v>
      </c>
      <c r="O123" s="2">
        <v>2</v>
      </c>
      <c r="P123" s="2">
        <v>150000</v>
      </c>
      <c r="Q123">
        <v>0.09</v>
      </c>
      <c r="R123" s="2">
        <v>273000</v>
      </c>
    </row>
    <row r="124" spans="1:18" x14ac:dyDescent="0.25">
      <c r="A124" t="s">
        <v>189</v>
      </c>
      <c r="B124" s="1">
        <v>45505</v>
      </c>
      <c r="C124" s="1" t="s">
        <v>102</v>
      </c>
      <c r="D124" t="s">
        <v>93</v>
      </c>
      <c r="E124" t="s">
        <v>142</v>
      </c>
      <c r="F124" t="s">
        <v>143</v>
      </c>
      <c r="G124" t="s">
        <v>144</v>
      </c>
      <c r="H124" t="s">
        <v>27</v>
      </c>
      <c r="I124" t="s">
        <v>60</v>
      </c>
      <c r="J124" t="s">
        <v>61</v>
      </c>
      <c r="K124" t="s">
        <v>26</v>
      </c>
      <c r="L124" t="s">
        <v>27</v>
      </c>
      <c r="M124" t="str">
        <f>INDEX( dim_segment!$A$2:$A$5,MATCH(L124,  dim_segment!$B$2:$B$5, 0))</f>
        <v>SEG002</v>
      </c>
      <c r="N124" t="s">
        <v>54</v>
      </c>
      <c r="O124" s="2">
        <v>4</v>
      </c>
      <c r="P124" s="2">
        <v>95000</v>
      </c>
      <c r="Q124">
        <v>0.08</v>
      </c>
      <c r="R124" s="2">
        <v>349600</v>
      </c>
    </row>
    <row r="125" spans="1:18" x14ac:dyDescent="0.25">
      <c r="A125" t="s">
        <v>190</v>
      </c>
      <c r="B125" s="1">
        <v>45518</v>
      </c>
      <c r="C125" s="1" t="s">
        <v>102</v>
      </c>
      <c r="D125" t="s">
        <v>93</v>
      </c>
      <c r="E125" t="s">
        <v>142</v>
      </c>
      <c r="F125" t="s">
        <v>143</v>
      </c>
      <c r="G125" t="s">
        <v>144</v>
      </c>
      <c r="H125" t="s">
        <v>27</v>
      </c>
      <c r="I125" t="s">
        <v>35</v>
      </c>
      <c r="J125" t="s">
        <v>36</v>
      </c>
      <c r="K125" t="s">
        <v>32</v>
      </c>
      <c r="L125" t="s">
        <v>27</v>
      </c>
      <c r="M125" t="str">
        <f>INDEX( dim_segment!$A$2:$A$5,MATCH(L125,  dim_segment!$B$2:$B$5, 0))</f>
        <v>SEG002</v>
      </c>
      <c r="N125" t="s">
        <v>28</v>
      </c>
      <c r="O125" s="2">
        <v>2</v>
      </c>
      <c r="P125" s="2">
        <v>45000</v>
      </c>
      <c r="Q125">
        <v>0.12</v>
      </c>
      <c r="R125" s="2">
        <v>79200</v>
      </c>
    </row>
    <row r="126" spans="1:18" x14ac:dyDescent="0.25">
      <c r="A126" t="s">
        <v>191</v>
      </c>
      <c r="B126" s="1">
        <v>45505</v>
      </c>
      <c r="C126" s="1" t="s">
        <v>102</v>
      </c>
      <c r="D126" t="s">
        <v>93</v>
      </c>
      <c r="E126" t="s">
        <v>142</v>
      </c>
      <c r="F126" t="s">
        <v>143</v>
      </c>
      <c r="G126" t="s">
        <v>144</v>
      </c>
      <c r="H126" t="s">
        <v>27</v>
      </c>
      <c r="I126" t="s">
        <v>60</v>
      </c>
      <c r="J126" t="s">
        <v>61</v>
      </c>
      <c r="K126" t="s">
        <v>26</v>
      </c>
      <c r="L126" t="s">
        <v>23</v>
      </c>
      <c r="M126" t="str">
        <f>INDEX( dim_segment!$A$2:$A$5,MATCH(L126,  dim_segment!$B$2:$B$5, 0))</f>
        <v>SEG001</v>
      </c>
      <c r="N126" t="s">
        <v>37</v>
      </c>
      <c r="O126" s="2">
        <v>3</v>
      </c>
      <c r="P126" s="2">
        <v>95000</v>
      </c>
      <c r="Q126">
        <v>0.1</v>
      </c>
      <c r="R126" s="2">
        <v>256500</v>
      </c>
    </row>
    <row r="127" spans="1:18" x14ac:dyDescent="0.25">
      <c r="A127" t="s">
        <v>192</v>
      </c>
      <c r="B127" s="1">
        <v>45523</v>
      </c>
      <c r="C127" s="1" t="s">
        <v>102</v>
      </c>
      <c r="D127" t="s">
        <v>93</v>
      </c>
      <c r="E127" t="s">
        <v>142</v>
      </c>
      <c r="F127" t="s">
        <v>143</v>
      </c>
      <c r="G127" t="s">
        <v>144</v>
      </c>
      <c r="H127" t="s">
        <v>27</v>
      </c>
      <c r="I127" t="s">
        <v>51</v>
      </c>
      <c r="J127" t="s">
        <v>52</v>
      </c>
      <c r="K127" t="s">
        <v>42</v>
      </c>
      <c r="L127" t="s">
        <v>43</v>
      </c>
      <c r="M127" t="str">
        <f>INDEX( dim_segment!$A$2:$A$5,MATCH(L127,  dim_segment!$B$2:$B$5, 0))</f>
        <v>SEG004</v>
      </c>
      <c r="N127" t="s">
        <v>37</v>
      </c>
      <c r="O127" s="2">
        <v>1</v>
      </c>
      <c r="P127" s="2">
        <v>150000</v>
      </c>
      <c r="Q127">
        <v>0.08</v>
      </c>
      <c r="R127" s="2">
        <v>138000</v>
      </c>
    </row>
    <row r="128" spans="1:18" x14ac:dyDescent="0.25">
      <c r="A128" t="s">
        <v>193</v>
      </c>
      <c r="B128" s="1">
        <v>45516</v>
      </c>
      <c r="C128" s="1" t="s">
        <v>102</v>
      </c>
      <c r="D128" t="s">
        <v>93</v>
      </c>
      <c r="E128" t="s">
        <v>142</v>
      </c>
      <c r="F128" t="s">
        <v>143</v>
      </c>
      <c r="G128" t="s">
        <v>144</v>
      </c>
      <c r="H128" t="s">
        <v>27</v>
      </c>
      <c r="I128" t="s">
        <v>60</v>
      </c>
      <c r="J128" t="s">
        <v>61</v>
      </c>
      <c r="K128" t="s">
        <v>26</v>
      </c>
      <c r="L128" t="s">
        <v>27</v>
      </c>
      <c r="M128" t="str">
        <f>INDEX( dim_segment!$A$2:$A$5,MATCH(L128,  dim_segment!$B$2:$B$5, 0))</f>
        <v>SEG002</v>
      </c>
      <c r="N128" t="s">
        <v>54</v>
      </c>
      <c r="O128" s="2">
        <v>2</v>
      </c>
      <c r="P128" s="2">
        <v>95000</v>
      </c>
      <c r="Q128">
        <v>0.03</v>
      </c>
      <c r="R128" s="2">
        <v>184300</v>
      </c>
    </row>
    <row r="129" spans="1:18" x14ac:dyDescent="0.25">
      <c r="A129" t="s">
        <v>194</v>
      </c>
      <c r="B129" s="1">
        <v>45553</v>
      </c>
      <c r="C129" s="1" t="s">
        <v>106</v>
      </c>
      <c r="D129" t="s">
        <v>93</v>
      </c>
      <c r="E129" t="s">
        <v>142</v>
      </c>
      <c r="F129" t="s">
        <v>143</v>
      </c>
      <c r="G129" t="s">
        <v>144</v>
      </c>
      <c r="H129" t="s">
        <v>27</v>
      </c>
      <c r="I129" t="s">
        <v>47</v>
      </c>
      <c r="J129" t="s">
        <v>48</v>
      </c>
      <c r="K129" t="s">
        <v>49</v>
      </c>
      <c r="L129" t="s">
        <v>27</v>
      </c>
      <c r="M129" t="str">
        <f>INDEX( dim_segment!$A$2:$A$5,MATCH(L129,  dim_segment!$B$2:$B$5, 0))</f>
        <v>SEG002</v>
      </c>
      <c r="N129" t="s">
        <v>33</v>
      </c>
      <c r="O129" s="2">
        <v>5</v>
      </c>
      <c r="P129" s="2">
        <v>200000</v>
      </c>
      <c r="Q129">
        <v>0.1</v>
      </c>
      <c r="R129" s="2">
        <v>900000</v>
      </c>
    </row>
    <row r="130" spans="1:18" x14ac:dyDescent="0.25">
      <c r="A130" t="s">
        <v>195</v>
      </c>
      <c r="B130" s="1">
        <v>45551</v>
      </c>
      <c r="C130" s="1" t="s">
        <v>106</v>
      </c>
      <c r="D130" t="s">
        <v>93</v>
      </c>
      <c r="E130" t="s">
        <v>142</v>
      </c>
      <c r="F130" t="s">
        <v>143</v>
      </c>
      <c r="G130" t="s">
        <v>144</v>
      </c>
      <c r="H130" t="s">
        <v>27</v>
      </c>
      <c r="I130" t="s">
        <v>75</v>
      </c>
      <c r="J130" t="s">
        <v>76</v>
      </c>
      <c r="K130" t="s">
        <v>49</v>
      </c>
      <c r="L130" t="s">
        <v>23</v>
      </c>
      <c r="M130" t="str">
        <f>INDEX( dim_segment!$A$2:$A$5,MATCH(L130,  dim_segment!$B$2:$B$5, 0))</f>
        <v>SEG001</v>
      </c>
      <c r="N130" t="s">
        <v>33</v>
      </c>
      <c r="O130" s="2">
        <v>2</v>
      </c>
      <c r="P130" s="2">
        <v>120000</v>
      </c>
      <c r="Q130">
        <v>0.06</v>
      </c>
      <c r="R130" s="2">
        <v>225600</v>
      </c>
    </row>
    <row r="131" spans="1:18" x14ac:dyDescent="0.25">
      <c r="A131" t="s">
        <v>196</v>
      </c>
      <c r="B131" s="1">
        <v>45545</v>
      </c>
      <c r="C131" s="1" t="s">
        <v>106</v>
      </c>
      <c r="D131" t="s">
        <v>93</v>
      </c>
      <c r="E131" t="s">
        <v>142</v>
      </c>
      <c r="F131" t="s">
        <v>143</v>
      </c>
      <c r="G131" t="s">
        <v>144</v>
      </c>
      <c r="H131" t="s">
        <v>27</v>
      </c>
      <c r="I131" t="s">
        <v>24</v>
      </c>
      <c r="J131" t="s">
        <v>25</v>
      </c>
      <c r="K131" t="s">
        <v>26</v>
      </c>
      <c r="L131" t="s">
        <v>43</v>
      </c>
      <c r="M131" t="str">
        <f>INDEX( dim_segment!$A$2:$A$5,MATCH(L131,  dim_segment!$B$2:$B$5, 0))</f>
        <v>SEG004</v>
      </c>
      <c r="N131" t="s">
        <v>54</v>
      </c>
      <c r="O131" s="2">
        <v>3</v>
      </c>
      <c r="P131" s="2">
        <v>75000</v>
      </c>
      <c r="Q131">
        <v>0.11</v>
      </c>
      <c r="R131" s="2">
        <v>200200</v>
      </c>
    </row>
    <row r="132" spans="1:18" x14ac:dyDescent="0.25">
      <c r="A132" t="s">
        <v>197</v>
      </c>
      <c r="B132" s="1">
        <v>45543</v>
      </c>
      <c r="C132" s="1" t="s">
        <v>106</v>
      </c>
      <c r="D132" t="s">
        <v>93</v>
      </c>
      <c r="E132" t="s">
        <v>142</v>
      </c>
      <c r="F132" t="s">
        <v>143</v>
      </c>
      <c r="G132" t="s">
        <v>144</v>
      </c>
      <c r="H132" t="s">
        <v>27</v>
      </c>
      <c r="I132" t="s">
        <v>30</v>
      </c>
      <c r="J132" t="s">
        <v>31</v>
      </c>
      <c r="K132" t="s">
        <v>32</v>
      </c>
      <c r="L132" t="s">
        <v>27</v>
      </c>
      <c r="M132" t="str">
        <f>INDEX( dim_segment!$A$2:$A$5,MATCH(L132,  dim_segment!$B$2:$B$5, 0))</f>
        <v>SEG002</v>
      </c>
      <c r="N132" t="s">
        <v>54</v>
      </c>
      <c r="O132" s="2">
        <v>1</v>
      </c>
      <c r="P132" s="2">
        <v>60000</v>
      </c>
      <c r="Q132">
        <v>0.08</v>
      </c>
      <c r="R132" s="2">
        <v>55200</v>
      </c>
    </row>
    <row r="133" spans="1:18" x14ac:dyDescent="0.25">
      <c r="A133" t="s">
        <v>198</v>
      </c>
      <c r="B133" s="1">
        <v>45545</v>
      </c>
      <c r="C133" s="1" t="s">
        <v>106</v>
      </c>
      <c r="D133" t="s">
        <v>93</v>
      </c>
      <c r="E133" t="s">
        <v>142</v>
      </c>
      <c r="F133" t="s">
        <v>143</v>
      </c>
      <c r="G133" t="s">
        <v>144</v>
      </c>
      <c r="H133" t="s">
        <v>27</v>
      </c>
      <c r="I133" t="s">
        <v>30</v>
      </c>
      <c r="J133" t="s">
        <v>31</v>
      </c>
      <c r="K133" t="s">
        <v>32</v>
      </c>
      <c r="L133" t="s">
        <v>65</v>
      </c>
      <c r="M133" t="str">
        <f>INDEX( dim_segment!$A$2:$A$5,MATCH(L133,  dim_segment!$B$2:$B$5, 0))</f>
        <v>SEG003</v>
      </c>
      <c r="N133" t="s">
        <v>37</v>
      </c>
      <c r="O133" s="2">
        <v>5</v>
      </c>
      <c r="P133" s="2">
        <v>60000</v>
      </c>
      <c r="Q133">
        <v>0.1</v>
      </c>
      <c r="R133" s="2">
        <v>270000</v>
      </c>
    </row>
    <row r="134" spans="1:18" x14ac:dyDescent="0.25">
      <c r="A134" t="s">
        <v>199</v>
      </c>
      <c r="B134" s="1">
        <v>45574</v>
      </c>
      <c r="C134" s="1" t="s">
        <v>115</v>
      </c>
      <c r="D134" t="s">
        <v>116</v>
      </c>
      <c r="E134" t="s">
        <v>142</v>
      </c>
      <c r="F134" t="s">
        <v>143</v>
      </c>
      <c r="G134" t="s">
        <v>144</v>
      </c>
      <c r="H134" t="s">
        <v>27</v>
      </c>
      <c r="I134" t="s">
        <v>24</v>
      </c>
      <c r="J134" t="s">
        <v>25</v>
      </c>
      <c r="K134" t="s">
        <v>26</v>
      </c>
      <c r="L134" t="s">
        <v>65</v>
      </c>
      <c r="M134" t="str">
        <f>INDEX( dim_segment!$A$2:$A$5,MATCH(L134,  dim_segment!$B$2:$B$5, 0))</f>
        <v>SEG003</v>
      </c>
      <c r="N134" t="s">
        <v>28</v>
      </c>
      <c r="O134" s="2">
        <v>3</v>
      </c>
      <c r="P134" s="2">
        <v>75000</v>
      </c>
      <c r="Q134">
        <v>0.05</v>
      </c>
      <c r="R134" s="2">
        <v>213800</v>
      </c>
    </row>
    <row r="135" spans="1:18" x14ac:dyDescent="0.25">
      <c r="A135" t="s">
        <v>200</v>
      </c>
      <c r="B135" s="1">
        <v>45580</v>
      </c>
      <c r="C135" s="1" t="s">
        <v>115</v>
      </c>
      <c r="D135" t="s">
        <v>116</v>
      </c>
      <c r="E135" t="s">
        <v>142</v>
      </c>
      <c r="F135" t="s">
        <v>143</v>
      </c>
      <c r="G135" t="s">
        <v>144</v>
      </c>
      <c r="H135" t="s">
        <v>27</v>
      </c>
      <c r="I135" t="s">
        <v>51</v>
      </c>
      <c r="J135" t="s">
        <v>52</v>
      </c>
      <c r="K135" t="s">
        <v>42</v>
      </c>
      <c r="L135" t="s">
        <v>65</v>
      </c>
      <c r="M135" t="str">
        <f>INDEX( dim_segment!$A$2:$A$5,MATCH(L135,  dim_segment!$B$2:$B$5, 0))</f>
        <v>SEG003</v>
      </c>
      <c r="N135" t="s">
        <v>33</v>
      </c>
      <c r="O135" s="2">
        <v>2</v>
      </c>
      <c r="P135" s="2">
        <v>150000</v>
      </c>
      <c r="Q135">
        <v>7.0000000000000007E-2</v>
      </c>
      <c r="R135" s="2">
        <v>279000</v>
      </c>
    </row>
    <row r="136" spans="1:18" x14ac:dyDescent="0.25">
      <c r="A136" t="s">
        <v>201</v>
      </c>
      <c r="B136" s="1">
        <v>45601</v>
      </c>
      <c r="C136" s="1" t="s">
        <v>125</v>
      </c>
      <c r="D136" t="s">
        <v>116</v>
      </c>
      <c r="E136" t="s">
        <v>142</v>
      </c>
      <c r="F136" t="s">
        <v>143</v>
      </c>
      <c r="G136" t="s">
        <v>144</v>
      </c>
      <c r="H136" t="s">
        <v>27</v>
      </c>
      <c r="I136" t="s">
        <v>47</v>
      </c>
      <c r="J136" t="s">
        <v>48</v>
      </c>
      <c r="K136" t="s">
        <v>49</v>
      </c>
      <c r="L136" t="s">
        <v>23</v>
      </c>
      <c r="M136" t="str">
        <f>INDEX( dim_segment!$A$2:$A$5,MATCH(L136,  dim_segment!$B$2:$B$5, 0))</f>
        <v>SEG001</v>
      </c>
      <c r="N136" t="s">
        <v>33</v>
      </c>
      <c r="O136" s="2">
        <v>2</v>
      </c>
      <c r="P136" s="2">
        <v>200000</v>
      </c>
      <c r="Q136">
        <v>0.04</v>
      </c>
      <c r="R136" s="2">
        <v>384000</v>
      </c>
    </row>
    <row r="137" spans="1:18" x14ac:dyDescent="0.25">
      <c r="A137" t="s">
        <v>202</v>
      </c>
      <c r="B137" s="1">
        <v>45600</v>
      </c>
      <c r="C137" s="1" t="s">
        <v>125</v>
      </c>
      <c r="D137" t="s">
        <v>116</v>
      </c>
      <c r="E137" t="s">
        <v>142</v>
      </c>
      <c r="F137" t="s">
        <v>143</v>
      </c>
      <c r="G137" t="s">
        <v>144</v>
      </c>
      <c r="H137" t="s">
        <v>27</v>
      </c>
      <c r="I137" t="s">
        <v>30</v>
      </c>
      <c r="J137" t="s">
        <v>31</v>
      </c>
      <c r="K137" t="s">
        <v>32</v>
      </c>
      <c r="L137" t="s">
        <v>43</v>
      </c>
      <c r="M137" t="str">
        <f>INDEX( dim_segment!$A$2:$A$5,MATCH(L137,  dim_segment!$B$2:$B$5, 0))</f>
        <v>SEG004</v>
      </c>
      <c r="N137" t="s">
        <v>37</v>
      </c>
      <c r="O137" s="2">
        <v>4</v>
      </c>
      <c r="P137" s="2">
        <v>60000</v>
      </c>
      <c r="Q137">
        <v>0.03</v>
      </c>
      <c r="R137" s="2">
        <v>232800</v>
      </c>
    </row>
    <row r="138" spans="1:18" x14ac:dyDescent="0.25">
      <c r="A138" t="s">
        <v>203</v>
      </c>
      <c r="B138" s="1">
        <v>45603</v>
      </c>
      <c r="C138" s="1" t="s">
        <v>125</v>
      </c>
      <c r="D138" t="s">
        <v>116</v>
      </c>
      <c r="E138" t="s">
        <v>142</v>
      </c>
      <c r="F138" t="s">
        <v>143</v>
      </c>
      <c r="G138" t="s">
        <v>144</v>
      </c>
      <c r="H138" t="s">
        <v>27</v>
      </c>
      <c r="I138" t="s">
        <v>24</v>
      </c>
      <c r="J138" t="s">
        <v>25</v>
      </c>
      <c r="K138" t="s">
        <v>26</v>
      </c>
      <c r="L138" t="s">
        <v>23</v>
      </c>
      <c r="M138" t="str">
        <f>INDEX( dim_segment!$A$2:$A$5,MATCH(L138,  dim_segment!$B$2:$B$5, 0))</f>
        <v>SEG001</v>
      </c>
      <c r="N138" t="s">
        <v>54</v>
      </c>
      <c r="O138" s="2">
        <v>5</v>
      </c>
      <c r="P138" s="2">
        <v>75000</v>
      </c>
      <c r="Q138">
        <v>0.04</v>
      </c>
      <c r="R138" s="2">
        <v>360000</v>
      </c>
    </row>
    <row r="139" spans="1:18" x14ac:dyDescent="0.25">
      <c r="A139" t="s">
        <v>204</v>
      </c>
      <c r="B139" s="1">
        <v>45609</v>
      </c>
      <c r="C139" s="1" t="s">
        <v>125</v>
      </c>
      <c r="D139" t="s">
        <v>116</v>
      </c>
      <c r="E139" t="s">
        <v>142</v>
      </c>
      <c r="F139" t="s">
        <v>143</v>
      </c>
      <c r="G139" t="s">
        <v>144</v>
      </c>
      <c r="H139" t="s">
        <v>27</v>
      </c>
      <c r="I139" t="s">
        <v>35</v>
      </c>
      <c r="J139" t="s">
        <v>36</v>
      </c>
      <c r="K139" t="s">
        <v>32</v>
      </c>
      <c r="L139" t="s">
        <v>27</v>
      </c>
      <c r="M139" t="str">
        <f>INDEX( dim_segment!$A$2:$A$5,MATCH(L139,  dim_segment!$B$2:$B$5, 0))</f>
        <v>SEG002</v>
      </c>
      <c r="N139" t="s">
        <v>28</v>
      </c>
      <c r="O139" s="2">
        <v>2</v>
      </c>
      <c r="P139" s="2">
        <v>45000</v>
      </c>
      <c r="Q139">
        <v>0.1</v>
      </c>
      <c r="R139" s="2">
        <v>81000</v>
      </c>
    </row>
    <row r="140" spans="1:18" x14ac:dyDescent="0.25">
      <c r="A140" t="s">
        <v>205</v>
      </c>
      <c r="B140" s="1">
        <v>45632</v>
      </c>
      <c r="C140" s="1" t="s">
        <v>134</v>
      </c>
      <c r="D140" t="s">
        <v>116</v>
      </c>
      <c r="E140" t="s">
        <v>142</v>
      </c>
      <c r="F140" t="s">
        <v>143</v>
      </c>
      <c r="G140" t="s">
        <v>144</v>
      </c>
      <c r="H140" t="s">
        <v>27</v>
      </c>
      <c r="I140" t="s">
        <v>24</v>
      </c>
      <c r="J140" t="s">
        <v>25</v>
      </c>
      <c r="K140" t="s">
        <v>26</v>
      </c>
      <c r="L140" t="s">
        <v>23</v>
      </c>
      <c r="M140" t="str">
        <f>INDEX( dim_segment!$A$2:$A$5,MATCH(L140,  dim_segment!$B$2:$B$5, 0))</f>
        <v>SEG001</v>
      </c>
      <c r="N140" t="s">
        <v>54</v>
      </c>
      <c r="O140" s="2">
        <v>2</v>
      </c>
      <c r="P140" s="2">
        <v>75000</v>
      </c>
      <c r="Q140">
        <v>0.04</v>
      </c>
      <c r="R140" s="2">
        <v>144000</v>
      </c>
    </row>
    <row r="141" spans="1:18" x14ac:dyDescent="0.25">
      <c r="A141" t="s">
        <v>206</v>
      </c>
      <c r="B141" s="1">
        <v>45650</v>
      </c>
      <c r="C141" s="1" t="s">
        <v>134</v>
      </c>
      <c r="D141" t="s">
        <v>116</v>
      </c>
      <c r="E141" t="s">
        <v>142</v>
      </c>
      <c r="F141" t="s">
        <v>143</v>
      </c>
      <c r="G141" t="s">
        <v>144</v>
      </c>
      <c r="H141" t="s">
        <v>27</v>
      </c>
      <c r="I141" t="s">
        <v>40</v>
      </c>
      <c r="J141" t="s">
        <v>41</v>
      </c>
      <c r="K141" t="s">
        <v>42</v>
      </c>
      <c r="L141" t="s">
        <v>65</v>
      </c>
      <c r="M141" t="str">
        <f>INDEX( dim_segment!$A$2:$A$5,MATCH(L141,  dim_segment!$B$2:$B$5, 0))</f>
        <v>SEG003</v>
      </c>
      <c r="N141" t="s">
        <v>33</v>
      </c>
      <c r="O141" s="2">
        <v>4</v>
      </c>
      <c r="P141" s="2">
        <v>85000</v>
      </c>
      <c r="Q141">
        <v>0.05</v>
      </c>
      <c r="R141" s="2">
        <v>323000</v>
      </c>
    </row>
    <row r="142" spans="1:18" x14ac:dyDescent="0.25">
      <c r="A142" t="s">
        <v>207</v>
      </c>
      <c r="B142" s="1">
        <v>45632</v>
      </c>
      <c r="C142" s="1" t="s">
        <v>134</v>
      </c>
      <c r="D142" t="s">
        <v>116</v>
      </c>
      <c r="E142" t="s">
        <v>142</v>
      </c>
      <c r="F142" t="s">
        <v>143</v>
      </c>
      <c r="G142" t="s">
        <v>144</v>
      </c>
      <c r="H142" t="s">
        <v>27</v>
      </c>
      <c r="I142" t="s">
        <v>47</v>
      </c>
      <c r="J142" t="s">
        <v>48</v>
      </c>
      <c r="K142" t="s">
        <v>49</v>
      </c>
      <c r="L142" t="s">
        <v>43</v>
      </c>
      <c r="M142" t="str">
        <f>INDEX( dim_segment!$A$2:$A$5,MATCH(L142,  dim_segment!$B$2:$B$5, 0))</f>
        <v>SEG004</v>
      </c>
      <c r="N142" t="s">
        <v>33</v>
      </c>
      <c r="O142" s="2">
        <v>5</v>
      </c>
      <c r="P142" s="2">
        <v>200000</v>
      </c>
      <c r="Q142">
        <v>0</v>
      </c>
      <c r="R142" s="2">
        <v>1000000</v>
      </c>
    </row>
    <row r="143" spans="1:18" x14ac:dyDescent="0.25">
      <c r="A143" t="s">
        <v>208</v>
      </c>
      <c r="B143" s="1">
        <v>45632</v>
      </c>
      <c r="C143" s="1" t="s">
        <v>134</v>
      </c>
      <c r="D143" t="s">
        <v>116</v>
      </c>
      <c r="E143" t="s">
        <v>142</v>
      </c>
      <c r="F143" t="s">
        <v>143</v>
      </c>
      <c r="G143" t="s">
        <v>144</v>
      </c>
      <c r="H143" t="s">
        <v>27</v>
      </c>
      <c r="I143" t="s">
        <v>47</v>
      </c>
      <c r="J143" t="s">
        <v>48</v>
      </c>
      <c r="K143" t="s">
        <v>49</v>
      </c>
      <c r="L143" t="s">
        <v>27</v>
      </c>
      <c r="M143" t="str">
        <f>INDEX( dim_segment!$A$2:$A$5,MATCH(L143,  dim_segment!$B$2:$B$5, 0))</f>
        <v>SEG002</v>
      </c>
      <c r="N143" t="s">
        <v>33</v>
      </c>
      <c r="O143" s="2">
        <v>3</v>
      </c>
      <c r="P143" s="2">
        <v>200000</v>
      </c>
      <c r="Q143">
        <v>0.09</v>
      </c>
      <c r="R143" s="2">
        <v>546000</v>
      </c>
    </row>
    <row r="144" spans="1:18" x14ac:dyDescent="0.25">
      <c r="A144" t="s">
        <v>209</v>
      </c>
      <c r="B144" s="1">
        <v>45641</v>
      </c>
      <c r="C144" s="1" t="s">
        <v>134</v>
      </c>
      <c r="D144" t="s">
        <v>116</v>
      </c>
      <c r="E144" t="s">
        <v>142</v>
      </c>
      <c r="F144" t="s">
        <v>143</v>
      </c>
      <c r="G144" t="s">
        <v>144</v>
      </c>
      <c r="H144" t="s">
        <v>27</v>
      </c>
      <c r="I144" t="s">
        <v>47</v>
      </c>
      <c r="J144" t="s">
        <v>48</v>
      </c>
      <c r="K144" t="s">
        <v>49</v>
      </c>
      <c r="L144" t="s">
        <v>43</v>
      </c>
      <c r="M144" t="str">
        <f>INDEX( dim_segment!$A$2:$A$5,MATCH(L144,  dim_segment!$B$2:$B$5, 0))</f>
        <v>SEG004</v>
      </c>
      <c r="N144" t="s">
        <v>28</v>
      </c>
      <c r="O144" s="2">
        <v>2</v>
      </c>
      <c r="P144" s="2">
        <v>200000</v>
      </c>
      <c r="Q144">
        <v>0.11</v>
      </c>
      <c r="R144" s="2">
        <v>356000</v>
      </c>
    </row>
    <row r="145" spans="1:18" x14ac:dyDescent="0.25">
      <c r="A145" t="s">
        <v>210</v>
      </c>
      <c r="B145" s="1">
        <v>45646</v>
      </c>
      <c r="C145" s="1" t="s">
        <v>134</v>
      </c>
      <c r="D145" t="s">
        <v>116</v>
      </c>
      <c r="E145" t="s">
        <v>142</v>
      </c>
      <c r="F145" t="s">
        <v>143</v>
      </c>
      <c r="G145" t="s">
        <v>144</v>
      </c>
      <c r="H145" t="s">
        <v>27</v>
      </c>
      <c r="I145" t="s">
        <v>60</v>
      </c>
      <c r="J145" t="s">
        <v>61</v>
      </c>
      <c r="K145" t="s">
        <v>26</v>
      </c>
      <c r="L145" t="s">
        <v>65</v>
      </c>
      <c r="M145" t="str">
        <f>INDEX( dim_segment!$A$2:$A$5,MATCH(L145,  dim_segment!$B$2:$B$5, 0))</f>
        <v>SEG003</v>
      </c>
      <c r="N145" t="s">
        <v>33</v>
      </c>
      <c r="O145" s="2">
        <v>5</v>
      </c>
      <c r="P145" s="2">
        <v>95000</v>
      </c>
      <c r="Q145">
        <v>0.06</v>
      </c>
      <c r="R145" s="2">
        <v>446500</v>
      </c>
    </row>
    <row r="146" spans="1:18" x14ac:dyDescent="0.25">
      <c r="A146" t="s">
        <v>211</v>
      </c>
      <c r="B146" s="1">
        <v>45313</v>
      </c>
      <c r="C146" s="1" t="s">
        <v>18</v>
      </c>
      <c r="D146" t="s">
        <v>19</v>
      </c>
      <c r="E146" t="s">
        <v>212</v>
      </c>
      <c r="F146" t="s">
        <v>213</v>
      </c>
      <c r="G146" t="s">
        <v>22</v>
      </c>
      <c r="H146" t="s">
        <v>23</v>
      </c>
      <c r="I146" t="s">
        <v>60</v>
      </c>
      <c r="J146" t="s">
        <v>61</v>
      </c>
      <c r="K146" t="s">
        <v>26</v>
      </c>
      <c r="L146" t="s">
        <v>43</v>
      </c>
      <c r="M146" t="str">
        <f>INDEX( dim_segment!$A$2:$A$5,MATCH(L146,  dim_segment!$B$2:$B$5, 0))</f>
        <v>SEG004</v>
      </c>
      <c r="N146" t="s">
        <v>28</v>
      </c>
      <c r="O146" s="2">
        <v>1</v>
      </c>
      <c r="P146" s="2">
        <v>95000</v>
      </c>
      <c r="Q146">
        <v>0.12</v>
      </c>
      <c r="R146" s="2">
        <v>83600</v>
      </c>
    </row>
    <row r="147" spans="1:18" x14ac:dyDescent="0.25">
      <c r="A147" t="s">
        <v>214</v>
      </c>
      <c r="B147" s="1">
        <v>45304</v>
      </c>
      <c r="C147" s="1" t="s">
        <v>18</v>
      </c>
      <c r="D147" t="s">
        <v>19</v>
      </c>
      <c r="E147" t="s">
        <v>212</v>
      </c>
      <c r="F147" t="s">
        <v>213</v>
      </c>
      <c r="G147" t="s">
        <v>22</v>
      </c>
      <c r="H147" t="s">
        <v>23</v>
      </c>
      <c r="I147" t="s">
        <v>40</v>
      </c>
      <c r="J147" t="s">
        <v>41</v>
      </c>
      <c r="K147" t="s">
        <v>42</v>
      </c>
      <c r="L147" t="s">
        <v>43</v>
      </c>
      <c r="M147" t="str">
        <f>INDEX( dim_segment!$A$2:$A$5,MATCH(L147,  dim_segment!$B$2:$B$5, 0))</f>
        <v>SEG004</v>
      </c>
      <c r="N147" t="s">
        <v>37</v>
      </c>
      <c r="O147" s="2">
        <v>3</v>
      </c>
      <c r="P147" s="2">
        <v>85000</v>
      </c>
      <c r="Q147">
        <v>0.12</v>
      </c>
      <c r="R147" s="2">
        <v>224400</v>
      </c>
    </row>
    <row r="148" spans="1:18" x14ac:dyDescent="0.25">
      <c r="A148" t="s">
        <v>215</v>
      </c>
      <c r="B148" s="1">
        <v>45317</v>
      </c>
      <c r="C148" s="1" t="s">
        <v>18</v>
      </c>
      <c r="D148" t="s">
        <v>19</v>
      </c>
      <c r="E148" t="s">
        <v>212</v>
      </c>
      <c r="F148" t="s">
        <v>213</v>
      </c>
      <c r="G148" t="s">
        <v>22</v>
      </c>
      <c r="H148" t="s">
        <v>23</v>
      </c>
      <c r="I148" t="s">
        <v>51</v>
      </c>
      <c r="J148" t="s">
        <v>52</v>
      </c>
      <c r="K148" t="s">
        <v>42</v>
      </c>
      <c r="L148" t="s">
        <v>23</v>
      </c>
      <c r="M148" t="str">
        <f>INDEX( dim_segment!$A$2:$A$5,MATCH(L148,  dim_segment!$B$2:$B$5, 0))</f>
        <v>SEG001</v>
      </c>
      <c r="N148" t="s">
        <v>33</v>
      </c>
      <c r="O148" s="2">
        <v>2</v>
      </c>
      <c r="P148" s="2">
        <v>150000</v>
      </c>
      <c r="Q148">
        <v>7.0000000000000007E-2</v>
      </c>
      <c r="R148" s="2">
        <v>279000</v>
      </c>
    </row>
    <row r="149" spans="1:18" x14ac:dyDescent="0.25">
      <c r="A149" t="s">
        <v>216</v>
      </c>
      <c r="B149" s="1">
        <v>45315</v>
      </c>
      <c r="C149" s="1" t="s">
        <v>18</v>
      </c>
      <c r="D149" t="s">
        <v>19</v>
      </c>
      <c r="E149" t="s">
        <v>212</v>
      </c>
      <c r="F149" t="s">
        <v>213</v>
      </c>
      <c r="G149" t="s">
        <v>22</v>
      </c>
      <c r="H149" t="s">
        <v>23</v>
      </c>
      <c r="I149" t="s">
        <v>51</v>
      </c>
      <c r="J149" t="s">
        <v>52</v>
      </c>
      <c r="K149" t="s">
        <v>42</v>
      </c>
      <c r="L149" t="s">
        <v>27</v>
      </c>
      <c r="M149" t="str">
        <f>INDEX( dim_segment!$A$2:$A$5,MATCH(L149,  dim_segment!$B$2:$B$5, 0))</f>
        <v>SEG002</v>
      </c>
      <c r="N149" t="s">
        <v>28</v>
      </c>
      <c r="O149" s="2">
        <v>1</v>
      </c>
      <c r="P149" s="2">
        <v>150000</v>
      </c>
      <c r="Q149">
        <v>7.0000000000000007E-2</v>
      </c>
      <c r="R149" s="2">
        <v>139500</v>
      </c>
    </row>
    <row r="150" spans="1:18" x14ac:dyDescent="0.25">
      <c r="A150" t="s">
        <v>217</v>
      </c>
      <c r="B150" s="1">
        <v>45314</v>
      </c>
      <c r="C150" s="1" t="s">
        <v>18</v>
      </c>
      <c r="D150" t="s">
        <v>19</v>
      </c>
      <c r="E150" t="s">
        <v>212</v>
      </c>
      <c r="F150" t="s">
        <v>213</v>
      </c>
      <c r="G150" t="s">
        <v>22</v>
      </c>
      <c r="H150" t="s">
        <v>23</v>
      </c>
      <c r="I150" t="s">
        <v>35</v>
      </c>
      <c r="J150" t="s">
        <v>36</v>
      </c>
      <c r="K150" t="s">
        <v>32</v>
      </c>
      <c r="L150" t="s">
        <v>23</v>
      </c>
      <c r="M150" t="str">
        <f>INDEX( dim_segment!$A$2:$A$5,MATCH(L150,  dim_segment!$B$2:$B$5, 0))</f>
        <v>SEG001</v>
      </c>
      <c r="N150" t="s">
        <v>54</v>
      </c>
      <c r="O150" s="2">
        <v>3</v>
      </c>
      <c r="P150" s="2">
        <v>45000</v>
      </c>
      <c r="Q150">
        <v>0.05</v>
      </c>
      <c r="R150" s="2">
        <v>128200</v>
      </c>
    </row>
    <row r="151" spans="1:18" x14ac:dyDescent="0.25">
      <c r="A151" t="s">
        <v>218</v>
      </c>
      <c r="B151" s="1">
        <v>45342</v>
      </c>
      <c r="C151" s="1" t="s">
        <v>46</v>
      </c>
      <c r="D151" t="s">
        <v>19</v>
      </c>
      <c r="E151" t="s">
        <v>212</v>
      </c>
      <c r="F151" t="s">
        <v>213</v>
      </c>
      <c r="G151" t="s">
        <v>22</v>
      </c>
      <c r="H151" t="s">
        <v>23</v>
      </c>
      <c r="I151" t="s">
        <v>35</v>
      </c>
      <c r="J151" t="s">
        <v>36</v>
      </c>
      <c r="K151" t="s">
        <v>32</v>
      </c>
      <c r="L151" t="s">
        <v>27</v>
      </c>
      <c r="M151" t="str">
        <f>INDEX( dim_segment!$A$2:$A$5,MATCH(L151,  dim_segment!$B$2:$B$5, 0))</f>
        <v>SEG002</v>
      </c>
      <c r="N151" t="s">
        <v>28</v>
      </c>
      <c r="O151" s="2">
        <v>1</v>
      </c>
      <c r="P151" s="2">
        <v>45000</v>
      </c>
      <c r="Q151">
        <v>0.08</v>
      </c>
      <c r="R151" s="2">
        <v>41400</v>
      </c>
    </row>
    <row r="152" spans="1:18" x14ac:dyDescent="0.25">
      <c r="A152" t="s">
        <v>219</v>
      </c>
      <c r="B152" s="1">
        <v>45338</v>
      </c>
      <c r="C152" s="1" t="s">
        <v>46</v>
      </c>
      <c r="D152" t="s">
        <v>19</v>
      </c>
      <c r="E152" t="s">
        <v>212</v>
      </c>
      <c r="F152" t="s">
        <v>213</v>
      </c>
      <c r="G152" t="s">
        <v>22</v>
      </c>
      <c r="H152" t="s">
        <v>23</v>
      </c>
      <c r="I152" t="s">
        <v>51</v>
      </c>
      <c r="J152" t="s">
        <v>52</v>
      </c>
      <c r="K152" t="s">
        <v>42</v>
      </c>
      <c r="L152" t="s">
        <v>65</v>
      </c>
      <c r="M152" t="str">
        <f>INDEX( dim_segment!$A$2:$A$5,MATCH(L152,  dim_segment!$B$2:$B$5, 0))</f>
        <v>SEG003</v>
      </c>
      <c r="N152" t="s">
        <v>37</v>
      </c>
      <c r="O152" s="2">
        <v>2</v>
      </c>
      <c r="P152" s="2">
        <v>150000</v>
      </c>
      <c r="Q152">
        <v>0.12</v>
      </c>
      <c r="R152" s="2">
        <v>264000</v>
      </c>
    </row>
    <row r="153" spans="1:18" x14ac:dyDescent="0.25">
      <c r="A153" t="s">
        <v>220</v>
      </c>
      <c r="B153" s="1">
        <v>45323</v>
      </c>
      <c r="C153" s="1" t="s">
        <v>46</v>
      </c>
      <c r="D153" t="s">
        <v>19</v>
      </c>
      <c r="E153" t="s">
        <v>212</v>
      </c>
      <c r="F153" t="s">
        <v>213</v>
      </c>
      <c r="G153" t="s">
        <v>22</v>
      </c>
      <c r="H153" t="s">
        <v>23</v>
      </c>
      <c r="I153" t="s">
        <v>47</v>
      </c>
      <c r="J153" t="s">
        <v>48</v>
      </c>
      <c r="K153" t="s">
        <v>49</v>
      </c>
      <c r="L153" t="s">
        <v>43</v>
      </c>
      <c r="M153" t="str">
        <f>INDEX( dim_segment!$A$2:$A$5,MATCH(L153,  dim_segment!$B$2:$B$5, 0))</f>
        <v>SEG004</v>
      </c>
      <c r="N153" t="s">
        <v>54</v>
      </c>
      <c r="O153" s="2">
        <v>3</v>
      </c>
      <c r="P153" s="2">
        <v>200000</v>
      </c>
      <c r="Q153">
        <v>0.09</v>
      </c>
      <c r="R153" s="2">
        <v>546000</v>
      </c>
    </row>
    <row r="154" spans="1:18" x14ac:dyDescent="0.25">
      <c r="A154" t="s">
        <v>221</v>
      </c>
      <c r="B154" s="1">
        <v>45378</v>
      </c>
      <c r="C154" s="1" t="s">
        <v>56</v>
      </c>
      <c r="D154" t="s">
        <v>19</v>
      </c>
      <c r="E154" t="s">
        <v>212</v>
      </c>
      <c r="F154" t="s">
        <v>213</v>
      </c>
      <c r="G154" t="s">
        <v>22</v>
      </c>
      <c r="H154" t="s">
        <v>23</v>
      </c>
      <c r="I154" t="s">
        <v>30</v>
      </c>
      <c r="J154" t="s">
        <v>31</v>
      </c>
      <c r="K154" t="s">
        <v>32</v>
      </c>
      <c r="L154" t="s">
        <v>27</v>
      </c>
      <c r="M154" t="str">
        <f>INDEX( dim_segment!$A$2:$A$5,MATCH(L154,  dim_segment!$B$2:$B$5, 0))</f>
        <v>SEG002</v>
      </c>
      <c r="N154" t="s">
        <v>33</v>
      </c>
      <c r="O154" s="2">
        <v>5</v>
      </c>
      <c r="P154" s="2">
        <v>60000</v>
      </c>
      <c r="Q154">
        <v>0.19</v>
      </c>
      <c r="R154" s="2">
        <v>243000</v>
      </c>
    </row>
    <row r="155" spans="1:18" x14ac:dyDescent="0.25">
      <c r="A155" t="s">
        <v>222</v>
      </c>
      <c r="B155" s="1">
        <v>45374</v>
      </c>
      <c r="C155" s="1" t="s">
        <v>56</v>
      </c>
      <c r="D155" t="s">
        <v>19</v>
      </c>
      <c r="E155" t="s">
        <v>212</v>
      </c>
      <c r="F155" t="s">
        <v>213</v>
      </c>
      <c r="G155" t="s">
        <v>22</v>
      </c>
      <c r="H155" t="s">
        <v>23</v>
      </c>
      <c r="I155" t="s">
        <v>75</v>
      </c>
      <c r="J155" t="s">
        <v>76</v>
      </c>
      <c r="K155" t="s">
        <v>49</v>
      </c>
      <c r="L155" t="s">
        <v>43</v>
      </c>
      <c r="M155" t="str">
        <f>INDEX( dim_segment!$A$2:$A$5,MATCH(L155,  dim_segment!$B$2:$B$5, 0))</f>
        <v>SEG004</v>
      </c>
      <c r="N155" t="s">
        <v>37</v>
      </c>
      <c r="O155" s="2">
        <v>3</v>
      </c>
      <c r="P155" s="2">
        <v>120000</v>
      </c>
      <c r="Q155">
        <v>0.1</v>
      </c>
      <c r="R155" s="2">
        <v>324000</v>
      </c>
    </row>
    <row r="156" spans="1:18" x14ac:dyDescent="0.25">
      <c r="A156" t="s">
        <v>223</v>
      </c>
      <c r="B156" s="1">
        <v>45352</v>
      </c>
      <c r="C156" s="1" t="s">
        <v>56</v>
      </c>
      <c r="D156" t="s">
        <v>19</v>
      </c>
      <c r="E156" t="s">
        <v>212</v>
      </c>
      <c r="F156" t="s">
        <v>213</v>
      </c>
      <c r="G156" t="s">
        <v>22</v>
      </c>
      <c r="H156" t="s">
        <v>23</v>
      </c>
      <c r="I156" t="s">
        <v>75</v>
      </c>
      <c r="J156" t="s">
        <v>76</v>
      </c>
      <c r="K156" t="s">
        <v>49</v>
      </c>
      <c r="L156" t="s">
        <v>43</v>
      </c>
      <c r="M156" t="str">
        <f>INDEX( dim_segment!$A$2:$A$5,MATCH(L156,  dim_segment!$B$2:$B$5, 0))</f>
        <v>SEG004</v>
      </c>
      <c r="N156" t="s">
        <v>54</v>
      </c>
      <c r="O156" s="2">
        <v>4</v>
      </c>
      <c r="P156" s="2">
        <v>120000</v>
      </c>
      <c r="Q156">
        <v>0.15</v>
      </c>
      <c r="R156" s="2">
        <v>408000</v>
      </c>
    </row>
    <row r="157" spans="1:18" x14ac:dyDescent="0.25">
      <c r="A157" t="s">
        <v>224</v>
      </c>
      <c r="B157" s="1">
        <v>45362</v>
      </c>
      <c r="C157" s="1" t="s">
        <v>56</v>
      </c>
      <c r="D157" t="s">
        <v>19</v>
      </c>
      <c r="E157" t="s">
        <v>212</v>
      </c>
      <c r="F157" t="s">
        <v>213</v>
      </c>
      <c r="G157" t="s">
        <v>22</v>
      </c>
      <c r="H157" t="s">
        <v>23</v>
      </c>
      <c r="I157" t="s">
        <v>75</v>
      </c>
      <c r="J157" t="s">
        <v>76</v>
      </c>
      <c r="K157" t="s">
        <v>49</v>
      </c>
      <c r="L157" t="s">
        <v>23</v>
      </c>
      <c r="M157" t="str">
        <f>INDEX( dim_segment!$A$2:$A$5,MATCH(L157,  dim_segment!$B$2:$B$5, 0))</f>
        <v>SEG001</v>
      </c>
      <c r="N157" t="s">
        <v>54</v>
      </c>
      <c r="O157" s="2">
        <v>5</v>
      </c>
      <c r="P157" s="2">
        <v>120000</v>
      </c>
      <c r="Q157">
        <v>0.14000000000000001</v>
      </c>
      <c r="R157" s="2">
        <v>516000</v>
      </c>
    </row>
    <row r="158" spans="1:18" x14ac:dyDescent="0.25">
      <c r="A158" t="s">
        <v>225</v>
      </c>
      <c r="B158" s="1">
        <v>45374</v>
      </c>
      <c r="C158" s="1" t="s">
        <v>56</v>
      </c>
      <c r="D158" t="s">
        <v>19</v>
      </c>
      <c r="E158" t="s">
        <v>212</v>
      </c>
      <c r="F158" t="s">
        <v>213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23</v>
      </c>
      <c r="M158" t="str">
        <f>INDEX( dim_segment!$A$2:$A$5,MATCH(L158,  dim_segment!$B$2:$B$5, 0))</f>
        <v>SEG001</v>
      </c>
      <c r="N158" t="s">
        <v>28</v>
      </c>
      <c r="O158" s="2">
        <v>3</v>
      </c>
      <c r="P158" s="2">
        <v>75000</v>
      </c>
      <c r="Q158">
        <v>0.15</v>
      </c>
      <c r="R158" s="2">
        <v>191200</v>
      </c>
    </row>
    <row r="159" spans="1:18" x14ac:dyDescent="0.25">
      <c r="A159" t="s">
        <v>226</v>
      </c>
      <c r="B159" s="1">
        <v>45362</v>
      </c>
      <c r="C159" s="1" t="s">
        <v>56</v>
      </c>
      <c r="D159" t="s">
        <v>19</v>
      </c>
      <c r="E159" t="s">
        <v>212</v>
      </c>
      <c r="F159" t="s">
        <v>213</v>
      </c>
      <c r="G159" t="s">
        <v>22</v>
      </c>
      <c r="H159" t="s">
        <v>23</v>
      </c>
      <c r="I159" t="s">
        <v>47</v>
      </c>
      <c r="J159" t="s">
        <v>48</v>
      </c>
      <c r="K159" t="s">
        <v>49</v>
      </c>
      <c r="L159" t="s">
        <v>65</v>
      </c>
      <c r="M159" t="str">
        <f>INDEX( dim_segment!$A$2:$A$5,MATCH(L159,  dim_segment!$B$2:$B$5, 0))</f>
        <v>SEG003</v>
      </c>
      <c r="N159" t="s">
        <v>37</v>
      </c>
      <c r="O159" s="2">
        <v>3</v>
      </c>
      <c r="P159" s="2">
        <v>200000</v>
      </c>
      <c r="Q159">
        <v>0.1</v>
      </c>
      <c r="R159" s="2">
        <v>540000</v>
      </c>
    </row>
    <row r="160" spans="1:18" x14ac:dyDescent="0.25">
      <c r="A160" t="s">
        <v>227</v>
      </c>
      <c r="B160" s="1">
        <v>45409</v>
      </c>
      <c r="C160" s="1" t="s">
        <v>67</v>
      </c>
      <c r="D160" t="s">
        <v>68</v>
      </c>
      <c r="E160" t="s">
        <v>212</v>
      </c>
      <c r="F160" t="s">
        <v>213</v>
      </c>
      <c r="G160" t="s">
        <v>22</v>
      </c>
      <c r="H160" t="s">
        <v>23</v>
      </c>
      <c r="I160" t="s">
        <v>75</v>
      </c>
      <c r="J160" t="s">
        <v>76</v>
      </c>
      <c r="K160" t="s">
        <v>49</v>
      </c>
      <c r="L160" t="s">
        <v>27</v>
      </c>
      <c r="M160" t="str">
        <f>INDEX( dim_segment!$A$2:$A$5,MATCH(L160,  dim_segment!$B$2:$B$5, 0))</f>
        <v>SEG002</v>
      </c>
      <c r="N160" t="s">
        <v>37</v>
      </c>
      <c r="O160" s="2">
        <v>4</v>
      </c>
      <c r="P160" s="2">
        <v>120000</v>
      </c>
      <c r="Q160">
        <v>0.08</v>
      </c>
      <c r="R160" s="2">
        <v>441600</v>
      </c>
    </row>
    <row r="161" spans="1:18" x14ac:dyDescent="0.25">
      <c r="A161" t="s">
        <v>228</v>
      </c>
      <c r="B161" s="1">
        <v>45385</v>
      </c>
      <c r="C161" s="1" t="s">
        <v>67</v>
      </c>
      <c r="D161" t="s">
        <v>68</v>
      </c>
      <c r="E161" t="s">
        <v>212</v>
      </c>
      <c r="F161" t="s">
        <v>213</v>
      </c>
      <c r="G161" t="s">
        <v>22</v>
      </c>
      <c r="H161" t="s">
        <v>23</v>
      </c>
      <c r="I161" t="s">
        <v>40</v>
      </c>
      <c r="J161" t="s">
        <v>41</v>
      </c>
      <c r="K161" t="s">
        <v>42</v>
      </c>
      <c r="L161" t="s">
        <v>23</v>
      </c>
      <c r="M161" t="str">
        <f>INDEX( dim_segment!$A$2:$A$5,MATCH(L161,  dim_segment!$B$2:$B$5, 0))</f>
        <v>SEG001</v>
      </c>
      <c r="N161" t="s">
        <v>28</v>
      </c>
      <c r="O161" s="2">
        <v>1</v>
      </c>
      <c r="P161" s="2">
        <v>85000</v>
      </c>
      <c r="Q161">
        <v>0.15</v>
      </c>
      <c r="R161" s="2">
        <v>72200</v>
      </c>
    </row>
    <row r="162" spans="1:18" x14ac:dyDescent="0.25">
      <c r="A162" t="s">
        <v>229</v>
      </c>
      <c r="B162" s="1">
        <v>45393</v>
      </c>
      <c r="C162" s="1" t="s">
        <v>67</v>
      </c>
      <c r="D162" t="s">
        <v>68</v>
      </c>
      <c r="E162" t="s">
        <v>212</v>
      </c>
      <c r="F162" t="s">
        <v>213</v>
      </c>
      <c r="G162" t="s">
        <v>22</v>
      </c>
      <c r="H162" t="s">
        <v>23</v>
      </c>
      <c r="I162" t="s">
        <v>40</v>
      </c>
      <c r="J162" t="s">
        <v>41</v>
      </c>
      <c r="K162" t="s">
        <v>42</v>
      </c>
      <c r="L162" t="s">
        <v>27</v>
      </c>
      <c r="M162" t="str">
        <f>INDEX( dim_segment!$A$2:$A$5,MATCH(L162,  dim_segment!$B$2:$B$5, 0))</f>
        <v>SEG002</v>
      </c>
      <c r="N162" t="s">
        <v>28</v>
      </c>
      <c r="O162" s="2">
        <v>3</v>
      </c>
      <c r="P162" s="2">
        <v>85000</v>
      </c>
      <c r="Q162">
        <v>0.11</v>
      </c>
      <c r="R162" s="2">
        <v>227000</v>
      </c>
    </row>
    <row r="163" spans="1:18" x14ac:dyDescent="0.25">
      <c r="A163" t="s">
        <v>230</v>
      </c>
      <c r="B163" s="1">
        <v>45408</v>
      </c>
      <c r="C163" s="1" t="s">
        <v>67</v>
      </c>
      <c r="D163" t="s">
        <v>68</v>
      </c>
      <c r="E163" t="s">
        <v>212</v>
      </c>
      <c r="F163" t="s">
        <v>213</v>
      </c>
      <c r="G163" t="s">
        <v>22</v>
      </c>
      <c r="H163" t="s">
        <v>23</v>
      </c>
      <c r="I163" t="s">
        <v>51</v>
      </c>
      <c r="J163" t="s">
        <v>52</v>
      </c>
      <c r="K163" t="s">
        <v>42</v>
      </c>
      <c r="L163" t="s">
        <v>43</v>
      </c>
      <c r="M163" t="str">
        <f>INDEX( dim_segment!$A$2:$A$5,MATCH(L163,  dim_segment!$B$2:$B$5, 0))</f>
        <v>SEG004</v>
      </c>
      <c r="N163" t="s">
        <v>28</v>
      </c>
      <c r="O163" s="2">
        <v>2</v>
      </c>
      <c r="P163" s="2">
        <v>150000</v>
      </c>
      <c r="Q163">
        <v>0.13</v>
      </c>
      <c r="R163" s="2">
        <v>261000</v>
      </c>
    </row>
    <row r="164" spans="1:18" x14ac:dyDescent="0.25">
      <c r="A164" t="s">
        <v>231</v>
      </c>
      <c r="B164" s="1">
        <v>45395</v>
      </c>
      <c r="C164" s="1" t="s">
        <v>67</v>
      </c>
      <c r="D164" t="s">
        <v>68</v>
      </c>
      <c r="E164" t="s">
        <v>212</v>
      </c>
      <c r="F164" t="s">
        <v>213</v>
      </c>
      <c r="G164" t="s">
        <v>22</v>
      </c>
      <c r="H164" t="s">
        <v>23</v>
      </c>
      <c r="I164" t="s">
        <v>51</v>
      </c>
      <c r="J164" t="s">
        <v>52</v>
      </c>
      <c r="K164" t="s">
        <v>42</v>
      </c>
      <c r="L164" t="s">
        <v>65</v>
      </c>
      <c r="M164" t="str">
        <f>INDEX( dim_segment!$A$2:$A$5,MATCH(L164,  dim_segment!$B$2:$B$5, 0))</f>
        <v>SEG003</v>
      </c>
      <c r="N164" t="s">
        <v>33</v>
      </c>
      <c r="O164" s="2">
        <v>3</v>
      </c>
      <c r="P164" s="2">
        <v>150000</v>
      </c>
      <c r="Q164">
        <v>0.1</v>
      </c>
      <c r="R164" s="2">
        <v>405000</v>
      </c>
    </row>
    <row r="165" spans="1:18" x14ac:dyDescent="0.25">
      <c r="A165" t="s">
        <v>232</v>
      </c>
      <c r="B165" s="1">
        <v>45431</v>
      </c>
      <c r="C165" s="1" t="s">
        <v>78</v>
      </c>
      <c r="D165" t="s">
        <v>68</v>
      </c>
      <c r="E165" t="s">
        <v>212</v>
      </c>
      <c r="F165" t="s">
        <v>213</v>
      </c>
      <c r="G165" t="s">
        <v>22</v>
      </c>
      <c r="H165" t="s">
        <v>23</v>
      </c>
      <c r="I165" t="s">
        <v>30</v>
      </c>
      <c r="J165" t="s">
        <v>31</v>
      </c>
      <c r="K165" t="s">
        <v>32</v>
      </c>
      <c r="L165" t="s">
        <v>23</v>
      </c>
      <c r="M165" t="str">
        <f>INDEX( dim_segment!$A$2:$A$5,MATCH(L165,  dim_segment!$B$2:$B$5, 0))</f>
        <v>SEG001</v>
      </c>
      <c r="N165" t="s">
        <v>54</v>
      </c>
      <c r="O165" s="2">
        <v>2</v>
      </c>
      <c r="P165" s="2">
        <v>60000</v>
      </c>
      <c r="Q165">
        <v>0.18</v>
      </c>
      <c r="R165" s="2">
        <v>98400</v>
      </c>
    </row>
    <row r="166" spans="1:18" x14ac:dyDescent="0.25">
      <c r="A166" t="s">
        <v>233</v>
      </c>
      <c r="B166" s="1">
        <v>45424</v>
      </c>
      <c r="C166" s="1" t="s">
        <v>78</v>
      </c>
      <c r="D166" t="s">
        <v>68</v>
      </c>
      <c r="E166" t="s">
        <v>212</v>
      </c>
      <c r="F166" t="s">
        <v>213</v>
      </c>
      <c r="G166" t="s">
        <v>22</v>
      </c>
      <c r="H166" t="s">
        <v>23</v>
      </c>
      <c r="I166" t="s">
        <v>30</v>
      </c>
      <c r="J166" t="s">
        <v>31</v>
      </c>
      <c r="K166" t="s">
        <v>32</v>
      </c>
      <c r="L166" t="s">
        <v>43</v>
      </c>
      <c r="M166" t="str">
        <f>INDEX( dim_segment!$A$2:$A$5,MATCH(L166,  dim_segment!$B$2:$B$5, 0))</f>
        <v>SEG004</v>
      </c>
      <c r="N166" t="s">
        <v>28</v>
      </c>
      <c r="O166" s="2">
        <v>1</v>
      </c>
      <c r="P166" s="2">
        <v>60000</v>
      </c>
      <c r="Q166">
        <v>0.1</v>
      </c>
      <c r="R166" s="2">
        <v>54000</v>
      </c>
    </row>
    <row r="167" spans="1:18" x14ac:dyDescent="0.25">
      <c r="A167" t="s">
        <v>234</v>
      </c>
      <c r="B167" s="1">
        <v>45424</v>
      </c>
      <c r="C167" s="1" t="s">
        <v>78</v>
      </c>
      <c r="D167" t="s">
        <v>68</v>
      </c>
      <c r="E167" t="s">
        <v>212</v>
      </c>
      <c r="F167" t="s">
        <v>213</v>
      </c>
      <c r="G167" t="s">
        <v>22</v>
      </c>
      <c r="H167" t="s">
        <v>23</v>
      </c>
      <c r="I167" t="s">
        <v>51</v>
      </c>
      <c r="J167" t="s">
        <v>52</v>
      </c>
      <c r="K167" t="s">
        <v>42</v>
      </c>
      <c r="L167" t="s">
        <v>65</v>
      </c>
      <c r="M167" t="str">
        <f>INDEX( dim_segment!$A$2:$A$5,MATCH(L167,  dim_segment!$B$2:$B$5, 0))</f>
        <v>SEG003</v>
      </c>
      <c r="N167" t="s">
        <v>28</v>
      </c>
      <c r="O167" s="2">
        <v>2</v>
      </c>
      <c r="P167" s="2">
        <v>150000</v>
      </c>
      <c r="Q167">
        <v>0.09</v>
      </c>
      <c r="R167" s="2">
        <v>273000</v>
      </c>
    </row>
    <row r="168" spans="1:18" x14ac:dyDescent="0.25">
      <c r="A168" t="s">
        <v>235</v>
      </c>
      <c r="B168" s="1">
        <v>45421</v>
      </c>
      <c r="C168" s="1" t="s">
        <v>78</v>
      </c>
      <c r="D168" t="s">
        <v>68</v>
      </c>
      <c r="E168" t="s">
        <v>212</v>
      </c>
      <c r="F168" t="s">
        <v>213</v>
      </c>
      <c r="G168" t="s">
        <v>22</v>
      </c>
      <c r="H168" t="s">
        <v>23</v>
      </c>
      <c r="I168" t="s">
        <v>47</v>
      </c>
      <c r="J168" t="s">
        <v>48</v>
      </c>
      <c r="K168" t="s">
        <v>49</v>
      </c>
      <c r="L168" t="s">
        <v>43</v>
      </c>
      <c r="M168" t="str">
        <f>INDEX( dim_segment!$A$2:$A$5,MATCH(L168,  dim_segment!$B$2:$B$5, 0))</f>
        <v>SEG004</v>
      </c>
      <c r="N168" t="s">
        <v>54</v>
      </c>
      <c r="O168" s="2">
        <v>2</v>
      </c>
      <c r="P168" s="2">
        <v>200000</v>
      </c>
      <c r="Q168">
        <v>0.06</v>
      </c>
      <c r="R168" s="2">
        <v>376000</v>
      </c>
    </row>
    <row r="169" spans="1:18" x14ac:dyDescent="0.25">
      <c r="A169" t="s">
        <v>236</v>
      </c>
      <c r="B169" s="1">
        <v>45433</v>
      </c>
      <c r="C169" s="1" t="s">
        <v>78</v>
      </c>
      <c r="D169" t="s">
        <v>68</v>
      </c>
      <c r="E169" t="s">
        <v>212</v>
      </c>
      <c r="F169" t="s">
        <v>213</v>
      </c>
      <c r="G169" t="s">
        <v>22</v>
      </c>
      <c r="H169" t="s">
        <v>23</v>
      </c>
      <c r="I169" t="s">
        <v>40</v>
      </c>
      <c r="J169" t="s">
        <v>41</v>
      </c>
      <c r="K169" t="s">
        <v>42</v>
      </c>
      <c r="L169" t="s">
        <v>27</v>
      </c>
      <c r="M169" t="str">
        <f>INDEX( dim_segment!$A$2:$A$5,MATCH(L169,  dim_segment!$B$2:$B$5, 0))</f>
        <v>SEG002</v>
      </c>
      <c r="N169" t="s">
        <v>37</v>
      </c>
      <c r="O169" s="2">
        <v>5</v>
      </c>
      <c r="P169" s="2">
        <v>85000</v>
      </c>
      <c r="Q169">
        <v>0.08</v>
      </c>
      <c r="R169" s="2">
        <v>391000</v>
      </c>
    </row>
    <row r="170" spans="1:18" x14ac:dyDescent="0.25">
      <c r="A170" t="s">
        <v>237</v>
      </c>
      <c r="B170" s="1">
        <v>45463</v>
      </c>
      <c r="C170" s="1" t="s">
        <v>84</v>
      </c>
      <c r="D170" t="s">
        <v>68</v>
      </c>
      <c r="E170" t="s">
        <v>212</v>
      </c>
      <c r="F170" t="s">
        <v>213</v>
      </c>
      <c r="G170" t="s">
        <v>22</v>
      </c>
      <c r="H170" t="s">
        <v>23</v>
      </c>
      <c r="I170" t="s">
        <v>60</v>
      </c>
      <c r="J170" t="s">
        <v>61</v>
      </c>
      <c r="K170" t="s">
        <v>26</v>
      </c>
      <c r="L170" t="s">
        <v>27</v>
      </c>
      <c r="M170" t="str">
        <f>INDEX( dim_segment!$A$2:$A$5,MATCH(L170,  dim_segment!$B$2:$B$5, 0))</f>
        <v>SEG002</v>
      </c>
      <c r="N170" t="s">
        <v>28</v>
      </c>
      <c r="O170" s="2">
        <v>4</v>
      </c>
      <c r="P170" s="2">
        <v>95000</v>
      </c>
      <c r="Q170">
        <v>0.1</v>
      </c>
      <c r="R170" s="2">
        <v>342000</v>
      </c>
    </row>
    <row r="171" spans="1:18" x14ac:dyDescent="0.25">
      <c r="A171" t="s">
        <v>238</v>
      </c>
      <c r="B171" s="1">
        <v>45457</v>
      </c>
      <c r="C171" s="1" t="s">
        <v>84</v>
      </c>
      <c r="D171" t="s">
        <v>68</v>
      </c>
      <c r="E171" t="s">
        <v>212</v>
      </c>
      <c r="F171" t="s">
        <v>213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tr">
        <f>INDEX( dim_segment!$A$2:$A$5,MATCH(L171,  dim_segment!$B$2:$B$5, 0))</f>
        <v>SEG002</v>
      </c>
      <c r="N171" t="s">
        <v>33</v>
      </c>
      <c r="O171" s="2">
        <v>5</v>
      </c>
      <c r="P171" s="2">
        <v>75000</v>
      </c>
      <c r="Q171">
        <v>0.12</v>
      </c>
      <c r="R171" s="2">
        <v>330000</v>
      </c>
    </row>
    <row r="172" spans="1:18" x14ac:dyDescent="0.25">
      <c r="A172" t="s">
        <v>239</v>
      </c>
      <c r="B172" s="1">
        <v>45466</v>
      </c>
      <c r="C172" s="1" t="s">
        <v>84</v>
      </c>
      <c r="D172" t="s">
        <v>68</v>
      </c>
      <c r="E172" t="s">
        <v>212</v>
      </c>
      <c r="F172" t="s">
        <v>213</v>
      </c>
      <c r="G172" t="s">
        <v>22</v>
      </c>
      <c r="H172" t="s">
        <v>23</v>
      </c>
      <c r="I172" t="s">
        <v>35</v>
      </c>
      <c r="J172" t="s">
        <v>36</v>
      </c>
      <c r="K172" t="s">
        <v>32</v>
      </c>
      <c r="L172" t="s">
        <v>27</v>
      </c>
      <c r="M172" t="str">
        <f>INDEX( dim_segment!$A$2:$A$5,MATCH(L172,  dim_segment!$B$2:$B$5, 0))</f>
        <v>SEG002</v>
      </c>
      <c r="N172" t="s">
        <v>37</v>
      </c>
      <c r="O172" s="2">
        <v>3</v>
      </c>
      <c r="P172" s="2">
        <v>45000</v>
      </c>
      <c r="Q172">
        <v>0.13</v>
      </c>
      <c r="R172" s="2">
        <v>117400</v>
      </c>
    </row>
    <row r="173" spans="1:18" x14ac:dyDescent="0.25">
      <c r="A173" t="s">
        <v>240</v>
      </c>
      <c r="B173" s="1">
        <v>45496</v>
      </c>
      <c r="C173" s="1" t="s">
        <v>92</v>
      </c>
      <c r="D173" t="s">
        <v>93</v>
      </c>
      <c r="E173" t="s">
        <v>212</v>
      </c>
      <c r="F173" t="s">
        <v>213</v>
      </c>
      <c r="G173" t="s">
        <v>22</v>
      </c>
      <c r="H173" t="s">
        <v>23</v>
      </c>
      <c r="I173" t="s">
        <v>60</v>
      </c>
      <c r="J173" t="s">
        <v>61</v>
      </c>
      <c r="K173" t="s">
        <v>26</v>
      </c>
      <c r="L173" t="s">
        <v>23</v>
      </c>
      <c r="M173" t="str">
        <f>INDEX( dim_segment!$A$2:$A$5,MATCH(L173,  dim_segment!$B$2:$B$5, 0))</f>
        <v>SEG001</v>
      </c>
      <c r="N173" t="s">
        <v>28</v>
      </c>
      <c r="O173" s="2">
        <v>2</v>
      </c>
      <c r="P173" s="2">
        <v>95000</v>
      </c>
      <c r="Q173">
        <v>7.0000000000000007E-2</v>
      </c>
      <c r="R173" s="2">
        <v>176700</v>
      </c>
    </row>
    <row r="174" spans="1:18" x14ac:dyDescent="0.25">
      <c r="A174" t="s">
        <v>241</v>
      </c>
      <c r="B174" s="1">
        <v>45501</v>
      </c>
      <c r="C174" s="1" t="s">
        <v>92</v>
      </c>
      <c r="D174" t="s">
        <v>93</v>
      </c>
      <c r="E174" t="s">
        <v>212</v>
      </c>
      <c r="F174" t="s">
        <v>213</v>
      </c>
      <c r="G174" t="s">
        <v>22</v>
      </c>
      <c r="H174" t="s">
        <v>23</v>
      </c>
      <c r="I174" t="s">
        <v>51</v>
      </c>
      <c r="J174" t="s">
        <v>52</v>
      </c>
      <c r="K174" t="s">
        <v>42</v>
      </c>
      <c r="L174" t="s">
        <v>43</v>
      </c>
      <c r="M174" t="str">
        <f>INDEX( dim_segment!$A$2:$A$5,MATCH(L174,  dim_segment!$B$2:$B$5, 0))</f>
        <v>SEG004</v>
      </c>
      <c r="N174" t="s">
        <v>54</v>
      </c>
      <c r="O174" s="2">
        <v>2</v>
      </c>
      <c r="P174" s="2">
        <v>150000</v>
      </c>
      <c r="Q174">
        <v>0.09</v>
      </c>
      <c r="R174" s="2">
        <v>273000</v>
      </c>
    </row>
    <row r="175" spans="1:18" x14ac:dyDescent="0.25">
      <c r="A175" t="s">
        <v>242</v>
      </c>
      <c r="B175" s="1">
        <v>45481</v>
      </c>
      <c r="C175" s="1" t="s">
        <v>92</v>
      </c>
      <c r="D175" t="s">
        <v>93</v>
      </c>
      <c r="E175" t="s">
        <v>212</v>
      </c>
      <c r="F175" t="s">
        <v>213</v>
      </c>
      <c r="G175" t="s">
        <v>22</v>
      </c>
      <c r="H175" t="s">
        <v>23</v>
      </c>
      <c r="I175" t="s">
        <v>40</v>
      </c>
      <c r="J175" t="s">
        <v>41</v>
      </c>
      <c r="K175" t="s">
        <v>42</v>
      </c>
      <c r="L175" t="s">
        <v>23</v>
      </c>
      <c r="M175" t="str">
        <f>INDEX( dim_segment!$A$2:$A$5,MATCH(L175,  dim_segment!$B$2:$B$5, 0))</f>
        <v>SEG001</v>
      </c>
      <c r="N175" t="s">
        <v>54</v>
      </c>
      <c r="O175" s="2">
        <v>1</v>
      </c>
      <c r="P175" s="2">
        <v>85000</v>
      </c>
      <c r="Q175">
        <v>0.08</v>
      </c>
      <c r="R175" s="2">
        <v>78200</v>
      </c>
    </row>
    <row r="176" spans="1:18" x14ac:dyDescent="0.25">
      <c r="A176" t="s">
        <v>243</v>
      </c>
      <c r="B176" s="1">
        <v>45497</v>
      </c>
      <c r="C176" s="1" t="s">
        <v>92</v>
      </c>
      <c r="D176" t="s">
        <v>93</v>
      </c>
      <c r="E176" t="s">
        <v>212</v>
      </c>
      <c r="F176" t="s">
        <v>213</v>
      </c>
      <c r="G176" t="s">
        <v>22</v>
      </c>
      <c r="H176" t="s">
        <v>23</v>
      </c>
      <c r="I176" t="s">
        <v>40</v>
      </c>
      <c r="J176" t="s">
        <v>41</v>
      </c>
      <c r="K176" t="s">
        <v>42</v>
      </c>
      <c r="L176" t="s">
        <v>65</v>
      </c>
      <c r="M176" t="str">
        <f>INDEX( dim_segment!$A$2:$A$5,MATCH(L176,  dim_segment!$B$2:$B$5, 0))</f>
        <v>SEG003</v>
      </c>
      <c r="N176" t="s">
        <v>37</v>
      </c>
      <c r="O176" s="2">
        <v>1</v>
      </c>
      <c r="P176" s="2">
        <v>85000</v>
      </c>
      <c r="Q176">
        <v>0.06</v>
      </c>
      <c r="R176" s="2">
        <v>79900</v>
      </c>
    </row>
    <row r="177" spans="1:18" x14ac:dyDescent="0.25">
      <c r="A177" t="s">
        <v>244</v>
      </c>
      <c r="B177" s="1">
        <v>45493</v>
      </c>
      <c r="C177" s="1" t="s">
        <v>92</v>
      </c>
      <c r="D177" t="s">
        <v>93</v>
      </c>
      <c r="E177" t="s">
        <v>212</v>
      </c>
      <c r="F177" t="s">
        <v>213</v>
      </c>
      <c r="G177" t="s">
        <v>22</v>
      </c>
      <c r="H177" t="s">
        <v>23</v>
      </c>
      <c r="I177" t="s">
        <v>47</v>
      </c>
      <c r="J177" t="s">
        <v>48</v>
      </c>
      <c r="K177" t="s">
        <v>49</v>
      </c>
      <c r="L177" t="s">
        <v>23</v>
      </c>
      <c r="M177" t="str">
        <f>INDEX( dim_segment!$A$2:$A$5,MATCH(L177,  dim_segment!$B$2:$B$5, 0))</f>
        <v>SEG001</v>
      </c>
      <c r="N177" t="s">
        <v>33</v>
      </c>
      <c r="O177" s="2">
        <v>2</v>
      </c>
      <c r="P177" s="2">
        <v>200000</v>
      </c>
      <c r="Q177">
        <v>0.12</v>
      </c>
      <c r="R177" s="2">
        <v>352000</v>
      </c>
    </row>
    <row r="178" spans="1:18" x14ac:dyDescent="0.25">
      <c r="A178" t="s">
        <v>245</v>
      </c>
      <c r="B178" s="1">
        <v>45488</v>
      </c>
      <c r="C178" s="1" t="s">
        <v>92</v>
      </c>
      <c r="D178" t="s">
        <v>93</v>
      </c>
      <c r="E178" t="s">
        <v>212</v>
      </c>
      <c r="F178" t="s">
        <v>213</v>
      </c>
      <c r="G178" t="s">
        <v>22</v>
      </c>
      <c r="H178" t="s">
        <v>23</v>
      </c>
      <c r="I178" t="s">
        <v>30</v>
      </c>
      <c r="J178" t="s">
        <v>31</v>
      </c>
      <c r="K178" t="s">
        <v>32</v>
      </c>
      <c r="L178" t="s">
        <v>65</v>
      </c>
      <c r="M178" t="str">
        <f>INDEX( dim_segment!$A$2:$A$5,MATCH(L178,  dim_segment!$B$2:$B$5, 0))</f>
        <v>SEG003</v>
      </c>
      <c r="N178" t="s">
        <v>54</v>
      </c>
      <c r="O178" s="2">
        <v>4</v>
      </c>
      <c r="P178" s="2">
        <v>60000</v>
      </c>
      <c r="Q178">
        <v>0.08</v>
      </c>
      <c r="R178" s="2">
        <v>220800</v>
      </c>
    </row>
    <row r="179" spans="1:18" x14ac:dyDescent="0.25">
      <c r="A179" t="s">
        <v>246</v>
      </c>
      <c r="B179" s="1">
        <v>45526</v>
      </c>
      <c r="C179" s="1" t="s">
        <v>102</v>
      </c>
      <c r="D179" t="s">
        <v>93</v>
      </c>
      <c r="E179" t="s">
        <v>212</v>
      </c>
      <c r="F179" t="s">
        <v>213</v>
      </c>
      <c r="G179" t="s">
        <v>22</v>
      </c>
      <c r="H179" t="s">
        <v>23</v>
      </c>
      <c r="I179" t="s">
        <v>47</v>
      </c>
      <c r="J179" t="s">
        <v>48</v>
      </c>
      <c r="K179" t="s">
        <v>49</v>
      </c>
      <c r="L179" t="s">
        <v>65</v>
      </c>
      <c r="M179" t="str">
        <f>INDEX( dim_segment!$A$2:$A$5,MATCH(L179,  dim_segment!$B$2:$B$5, 0))</f>
        <v>SEG003</v>
      </c>
      <c r="N179" t="s">
        <v>54</v>
      </c>
      <c r="O179" s="2">
        <v>2</v>
      </c>
      <c r="P179" s="2">
        <v>200000</v>
      </c>
      <c r="Q179">
        <v>0.15</v>
      </c>
      <c r="R179" s="2">
        <v>340000</v>
      </c>
    </row>
    <row r="180" spans="1:18" x14ac:dyDescent="0.25">
      <c r="A180" t="s">
        <v>247</v>
      </c>
      <c r="B180" s="1">
        <v>45522</v>
      </c>
      <c r="C180" s="1" t="s">
        <v>102</v>
      </c>
      <c r="D180" t="s">
        <v>93</v>
      </c>
      <c r="E180" t="s">
        <v>212</v>
      </c>
      <c r="F180" t="s">
        <v>213</v>
      </c>
      <c r="G180" t="s">
        <v>22</v>
      </c>
      <c r="H180" t="s">
        <v>23</v>
      </c>
      <c r="I180" t="s">
        <v>35</v>
      </c>
      <c r="J180" t="s">
        <v>36</v>
      </c>
      <c r="K180" t="s">
        <v>32</v>
      </c>
      <c r="L180" t="s">
        <v>65</v>
      </c>
      <c r="M180" t="str">
        <f>INDEX( dim_segment!$A$2:$A$5,MATCH(L180,  dim_segment!$B$2:$B$5, 0))</f>
        <v>SEG003</v>
      </c>
      <c r="N180" t="s">
        <v>28</v>
      </c>
      <c r="O180" s="2">
        <v>2</v>
      </c>
      <c r="P180" s="2">
        <v>45000</v>
      </c>
      <c r="Q180">
        <v>0.06</v>
      </c>
      <c r="R180" s="2">
        <v>84600</v>
      </c>
    </row>
    <row r="181" spans="1:18" x14ac:dyDescent="0.25">
      <c r="A181" t="s">
        <v>248</v>
      </c>
      <c r="B181" s="1">
        <v>45522</v>
      </c>
      <c r="C181" s="1" t="s">
        <v>102</v>
      </c>
      <c r="D181" t="s">
        <v>93</v>
      </c>
      <c r="E181" t="s">
        <v>212</v>
      </c>
      <c r="F181" t="s">
        <v>213</v>
      </c>
      <c r="G181" t="s">
        <v>22</v>
      </c>
      <c r="H181" t="s">
        <v>23</v>
      </c>
      <c r="I181" t="s">
        <v>60</v>
      </c>
      <c r="J181" t="s">
        <v>61</v>
      </c>
      <c r="K181" t="s">
        <v>26</v>
      </c>
      <c r="L181" t="s">
        <v>43</v>
      </c>
      <c r="M181" t="str">
        <f>INDEX( dim_segment!$A$2:$A$5,MATCH(L181,  dim_segment!$B$2:$B$5, 0))</f>
        <v>SEG004</v>
      </c>
      <c r="N181" t="s">
        <v>28</v>
      </c>
      <c r="O181" s="2">
        <v>1</v>
      </c>
      <c r="P181" s="2">
        <v>95000</v>
      </c>
      <c r="Q181">
        <v>0.09</v>
      </c>
      <c r="R181" s="2">
        <v>86400</v>
      </c>
    </row>
    <row r="182" spans="1:18" x14ac:dyDescent="0.25">
      <c r="A182" t="s">
        <v>249</v>
      </c>
      <c r="B182" s="1">
        <v>45561</v>
      </c>
      <c r="C182" s="1" t="s">
        <v>106</v>
      </c>
      <c r="D182" t="s">
        <v>93</v>
      </c>
      <c r="E182" t="s">
        <v>212</v>
      </c>
      <c r="F182" t="s">
        <v>213</v>
      </c>
      <c r="G182" t="s">
        <v>22</v>
      </c>
      <c r="H182" t="s">
        <v>23</v>
      </c>
      <c r="I182" t="s">
        <v>40</v>
      </c>
      <c r="J182" t="s">
        <v>41</v>
      </c>
      <c r="K182" t="s">
        <v>42</v>
      </c>
      <c r="L182" t="s">
        <v>23</v>
      </c>
      <c r="M182" t="str">
        <f>INDEX( dim_segment!$A$2:$A$5,MATCH(L182,  dim_segment!$B$2:$B$5, 0))</f>
        <v>SEG001</v>
      </c>
      <c r="N182" t="s">
        <v>28</v>
      </c>
      <c r="O182" s="2">
        <v>1</v>
      </c>
      <c r="P182" s="2">
        <v>85000</v>
      </c>
      <c r="Q182">
        <v>7.0000000000000007E-2</v>
      </c>
      <c r="R182" s="2">
        <v>79000</v>
      </c>
    </row>
    <row r="183" spans="1:18" x14ac:dyDescent="0.25">
      <c r="A183" t="s">
        <v>250</v>
      </c>
      <c r="B183" s="1">
        <v>45549</v>
      </c>
      <c r="C183" s="1" t="s">
        <v>106</v>
      </c>
      <c r="D183" t="s">
        <v>93</v>
      </c>
      <c r="E183" t="s">
        <v>212</v>
      </c>
      <c r="F183" t="s">
        <v>213</v>
      </c>
      <c r="G183" t="s">
        <v>22</v>
      </c>
      <c r="H183" t="s">
        <v>23</v>
      </c>
      <c r="I183" t="s">
        <v>35</v>
      </c>
      <c r="J183" t="s">
        <v>36</v>
      </c>
      <c r="K183" t="s">
        <v>32</v>
      </c>
      <c r="L183" t="s">
        <v>23</v>
      </c>
      <c r="M183" t="str">
        <f>INDEX( dim_segment!$A$2:$A$5,MATCH(L183,  dim_segment!$B$2:$B$5, 0))</f>
        <v>SEG001</v>
      </c>
      <c r="N183" t="s">
        <v>37</v>
      </c>
      <c r="O183" s="2">
        <v>2</v>
      </c>
      <c r="P183" s="2">
        <v>45000</v>
      </c>
      <c r="Q183">
        <v>0.08</v>
      </c>
      <c r="R183" s="2">
        <v>82800</v>
      </c>
    </row>
    <row r="184" spans="1:18" x14ac:dyDescent="0.25">
      <c r="A184" t="s">
        <v>251</v>
      </c>
      <c r="B184" s="1">
        <v>45552</v>
      </c>
      <c r="C184" s="1" t="s">
        <v>106</v>
      </c>
      <c r="D184" t="s">
        <v>93</v>
      </c>
      <c r="E184" t="s">
        <v>212</v>
      </c>
      <c r="F184" t="s">
        <v>213</v>
      </c>
      <c r="G184" t="s">
        <v>22</v>
      </c>
      <c r="H184" t="s">
        <v>23</v>
      </c>
      <c r="I184" t="s">
        <v>40</v>
      </c>
      <c r="J184" t="s">
        <v>41</v>
      </c>
      <c r="K184" t="s">
        <v>42</v>
      </c>
      <c r="L184" t="s">
        <v>23</v>
      </c>
      <c r="M184" t="str">
        <f>INDEX( dim_segment!$A$2:$A$5,MATCH(L184,  dim_segment!$B$2:$B$5, 0))</f>
        <v>SEG001</v>
      </c>
      <c r="N184" t="s">
        <v>33</v>
      </c>
      <c r="O184" s="2">
        <v>2</v>
      </c>
      <c r="P184" s="2">
        <v>85000</v>
      </c>
      <c r="Q184">
        <v>0.08</v>
      </c>
      <c r="R184" s="2">
        <v>156400</v>
      </c>
    </row>
    <row r="185" spans="1:18" x14ac:dyDescent="0.25">
      <c r="A185" t="s">
        <v>252</v>
      </c>
      <c r="B185" s="1">
        <v>45554</v>
      </c>
      <c r="C185" s="1" t="s">
        <v>106</v>
      </c>
      <c r="D185" t="s">
        <v>93</v>
      </c>
      <c r="E185" t="s">
        <v>212</v>
      </c>
      <c r="F185" t="s">
        <v>213</v>
      </c>
      <c r="G185" t="s">
        <v>22</v>
      </c>
      <c r="H185" t="s">
        <v>23</v>
      </c>
      <c r="I185" t="s">
        <v>60</v>
      </c>
      <c r="J185" t="s">
        <v>61</v>
      </c>
      <c r="K185" t="s">
        <v>26</v>
      </c>
      <c r="L185" t="s">
        <v>65</v>
      </c>
      <c r="M185" t="str">
        <f>INDEX( dim_segment!$A$2:$A$5,MATCH(L185,  dim_segment!$B$2:$B$5, 0))</f>
        <v>SEG003</v>
      </c>
      <c r="N185" t="s">
        <v>33</v>
      </c>
      <c r="O185" s="2">
        <v>5</v>
      </c>
      <c r="P185" s="2">
        <v>95000</v>
      </c>
      <c r="Q185">
        <v>0.09</v>
      </c>
      <c r="R185" s="2">
        <v>432200</v>
      </c>
    </row>
    <row r="186" spans="1:18" x14ac:dyDescent="0.25">
      <c r="A186" t="s">
        <v>253</v>
      </c>
      <c r="B186" s="1">
        <v>45550</v>
      </c>
      <c r="C186" s="1" t="s">
        <v>106</v>
      </c>
      <c r="D186" t="s">
        <v>93</v>
      </c>
      <c r="E186" t="s">
        <v>212</v>
      </c>
      <c r="F186" t="s">
        <v>213</v>
      </c>
      <c r="G186" t="s">
        <v>22</v>
      </c>
      <c r="H186" t="s">
        <v>23</v>
      </c>
      <c r="I186" t="s">
        <v>30</v>
      </c>
      <c r="J186" t="s">
        <v>31</v>
      </c>
      <c r="K186" t="s">
        <v>32</v>
      </c>
      <c r="L186" t="s">
        <v>65</v>
      </c>
      <c r="M186" t="str">
        <f>INDEX( dim_segment!$A$2:$A$5,MATCH(L186,  dim_segment!$B$2:$B$5, 0))</f>
        <v>SEG003</v>
      </c>
      <c r="N186" t="s">
        <v>33</v>
      </c>
      <c r="O186" s="2">
        <v>5</v>
      </c>
      <c r="P186" s="2">
        <v>60000</v>
      </c>
      <c r="Q186">
        <v>0.17</v>
      </c>
      <c r="R186" s="2">
        <v>249000</v>
      </c>
    </row>
    <row r="187" spans="1:18" x14ac:dyDescent="0.25">
      <c r="A187" t="s">
        <v>254</v>
      </c>
      <c r="B187" s="1">
        <v>45569</v>
      </c>
      <c r="C187" s="1" t="s">
        <v>115</v>
      </c>
      <c r="D187" t="s">
        <v>116</v>
      </c>
      <c r="E187" t="s">
        <v>212</v>
      </c>
      <c r="F187" t="s">
        <v>213</v>
      </c>
      <c r="G187" t="s">
        <v>22</v>
      </c>
      <c r="H187" t="s">
        <v>23</v>
      </c>
      <c r="I187" t="s">
        <v>35</v>
      </c>
      <c r="J187" t="s">
        <v>36</v>
      </c>
      <c r="K187" t="s">
        <v>32</v>
      </c>
      <c r="L187" t="s">
        <v>27</v>
      </c>
      <c r="M187" t="str">
        <f>INDEX( dim_segment!$A$2:$A$5,MATCH(L187,  dim_segment!$B$2:$B$5, 0))</f>
        <v>SEG002</v>
      </c>
      <c r="N187" t="s">
        <v>54</v>
      </c>
      <c r="O187" s="2">
        <v>5</v>
      </c>
      <c r="P187" s="2">
        <v>45000</v>
      </c>
      <c r="Q187">
        <v>0.14000000000000001</v>
      </c>
      <c r="R187" s="2">
        <v>193500</v>
      </c>
    </row>
    <row r="188" spans="1:18" x14ac:dyDescent="0.25">
      <c r="A188" t="s">
        <v>255</v>
      </c>
      <c r="B188" s="1">
        <v>45593</v>
      </c>
      <c r="C188" s="1" t="s">
        <v>115</v>
      </c>
      <c r="D188" t="s">
        <v>116</v>
      </c>
      <c r="E188" t="s">
        <v>212</v>
      </c>
      <c r="F188" t="s">
        <v>213</v>
      </c>
      <c r="G188" t="s">
        <v>22</v>
      </c>
      <c r="H188" t="s">
        <v>23</v>
      </c>
      <c r="I188" t="s">
        <v>40</v>
      </c>
      <c r="J188" t="s">
        <v>41</v>
      </c>
      <c r="K188" t="s">
        <v>42</v>
      </c>
      <c r="L188" t="s">
        <v>27</v>
      </c>
      <c r="M188" t="str">
        <f>INDEX( dim_segment!$A$2:$A$5,MATCH(L188,  dim_segment!$B$2:$B$5, 0))</f>
        <v>SEG002</v>
      </c>
      <c r="N188" t="s">
        <v>33</v>
      </c>
      <c r="O188" s="2">
        <v>2</v>
      </c>
      <c r="P188" s="2">
        <v>85000</v>
      </c>
      <c r="Q188">
        <v>0.14000000000000001</v>
      </c>
      <c r="R188" s="2">
        <v>146200</v>
      </c>
    </row>
    <row r="189" spans="1:18" x14ac:dyDescent="0.25">
      <c r="A189" t="s">
        <v>256</v>
      </c>
      <c r="B189" s="1">
        <v>45571</v>
      </c>
      <c r="C189" s="1" t="s">
        <v>115</v>
      </c>
      <c r="D189" t="s">
        <v>116</v>
      </c>
      <c r="E189" t="s">
        <v>212</v>
      </c>
      <c r="F189" t="s">
        <v>213</v>
      </c>
      <c r="G189" t="s">
        <v>22</v>
      </c>
      <c r="H189" t="s">
        <v>23</v>
      </c>
      <c r="I189" t="s">
        <v>75</v>
      </c>
      <c r="J189" t="s">
        <v>76</v>
      </c>
      <c r="K189" t="s">
        <v>49</v>
      </c>
      <c r="L189" t="s">
        <v>65</v>
      </c>
      <c r="M189" t="str">
        <f>INDEX( dim_segment!$A$2:$A$5,MATCH(L189,  dim_segment!$B$2:$B$5, 0))</f>
        <v>SEG003</v>
      </c>
      <c r="N189" t="s">
        <v>54</v>
      </c>
      <c r="O189" s="2">
        <v>1</v>
      </c>
      <c r="P189" s="2">
        <v>120000</v>
      </c>
      <c r="Q189">
        <v>0.09</v>
      </c>
      <c r="R189" s="2">
        <v>109200</v>
      </c>
    </row>
    <row r="190" spans="1:18" x14ac:dyDescent="0.25">
      <c r="A190" t="s">
        <v>257</v>
      </c>
      <c r="B190" s="1">
        <v>45582</v>
      </c>
      <c r="C190" s="1" t="s">
        <v>115</v>
      </c>
      <c r="D190" t="s">
        <v>116</v>
      </c>
      <c r="E190" t="s">
        <v>212</v>
      </c>
      <c r="F190" t="s">
        <v>213</v>
      </c>
      <c r="G190" t="s">
        <v>22</v>
      </c>
      <c r="H190" t="s">
        <v>23</v>
      </c>
      <c r="I190" t="s">
        <v>40</v>
      </c>
      <c r="J190" t="s">
        <v>41</v>
      </c>
      <c r="K190" t="s">
        <v>42</v>
      </c>
      <c r="L190" t="s">
        <v>65</v>
      </c>
      <c r="M190" t="str">
        <f>INDEX( dim_segment!$A$2:$A$5,MATCH(L190,  dim_segment!$B$2:$B$5, 0))</f>
        <v>SEG003</v>
      </c>
      <c r="N190" t="s">
        <v>37</v>
      </c>
      <c r="O190" s="2">
        <v>5</v>
      </c>
      <c r="P190" s="2">
        <v>85000</v>
      </c>
      <c r="Q190">
        <v>0.08</v>
      </c>
      <c r="R190" s="2">
        <v>391000</v>
      </c>
    </row>
    <row r="191" spans="1:18" x14ac:dyDescent="0.25">
      <c r="A191" t="s">
        <v>258</v>
      </c>
      <c r="B191" s="1">
        <v>45581</v>
      </c>
      <c r="C191" s="1" t="s">
        <v>115</v>
      </c>
      <c r="D191" t="s">
        <v>116</v>
      </c>
      <c r="E191" t="s">
        <v>212</v>
      </c>
      <c r="F191" t="s">
        <v>213</v>
      </c>
      <c r="G191" t="s">
        <v>22</v>
      </c>
      <c r="H191" t="s">
        <v>23</v>
      </c>
      <c r="I191" t="s">
        <v>30</v>
      </c>
      <c r="J191" t="s">
        <v>31</v>
      </c>
      <c r="K191" t="s">
        <v>32</v>
      </c>
      <c r="L191" t="s">
        <v>65</v>
      </c>
      <c r="M191" t="str">
        <f>INDEX( dim_segment!$A$2:$A$5,MATCH(L191,  dim_segment!$B$2:$B$5, 0))</f>
        <v>SEG003</v>
      </c>
      <c r="N191" t="s">
        <v>33</v>
      </c>
      <c r="O191" s="2">
        <v>2</v>
      </c>
      <c r="P191" s="2">
        <v>60000</v>
      </c>
      <c r="Q191">
        <v>0.14000000000000001</v>
      </c>
      <c r="R191" s="2">
        <v>103200</v>
      </c>
    </row>
    <row r="192" spans="1:18" x14ac:dyDescent="0.25">
      <c r="A192" t="s">
        <v>259</v>
      </c>
      <c r="B192" s="1">
        <v>45573</v>
      </c>
      <c r="C192" s="1" t="s">
        <v>115</v>
      </c>
      <c r="D192" t="s">
        <v>116</v>
      </c>
      <c r="E192" t="s">
        <v>212</v>
      </c>
      <c r="F192" t="s">
        <v>213</v>
      </c>
      <c r="G192" t="s">
        <v>22</v>
      </c>
      <c r="H192" t="s">
        <v>23</v>
      </c>
      <c r="I192" t="s">
        <v>30</v>
      </c>
      <c r="J192" t="s">
        <v>31</v>
      </c>
      <c r="K192" t="s">
        <v>32</v>
      </c>
      <c r="L192" t="s">
        <v>27</v>
      </c>
      <c r="M192" t="str">
        <f>INDEX( dim_segment!$A$2:$A$5,MATCH(L192,  dim_segment!$B$2:$B$5, 0))</f>
        <v>SEG002</v>
      </c>
      <c r="N192" t="s">
        <v>37</v>
      </c>
      <c r="O192" s="2">
        <v>3</v>
      </c>
      <c r="P192" s="2">
        <v>60000</v>
      </c>
      <c r="Q192">
        <v>0.11</v>
      </c>
      <c r="R192" s="2">
        <v>160200</v>
      </c>
    </row>
    <row r="193" spans="1:18" x14ac:dyDescent="0.25">
      <c r="A193" t="s">
        <v>260</v>
      </c>
      <c r="B193" s="1">
        <v>45584</v>
      </c>
      <c r="C193" s="1" t="s">
        <v>115</v>
      </c>
      <c r="D193" t="s">
        <v>116</v>
      </c>
      <c r="E193" t="s">
        <v>212</v>
      </c>
      <c r="F193" t="s">
        <v>213</v>
      </c>
      <c r="G193" t="s">
        <v>22</v>
      </c>
      <c r="H193" t="s">
        <v>23</v>
      </c>
      <c r="I193" t="s">
        <v>75</v>
      </c>
      <c r="J193" t="s">
        <v>76</v>
      </c>
      <c r="K193" t="s">
        <v>49</v>
      </c>
      <c r="L193" t="s">
        <v>23</v>
      </c>
      <c r="M193" t="str">
        <f>INDEX( dim_segment!$A$2:$A$5,MATCH(L193,  dim_segment!$B$2:$B$5, 0))</f>
        <v>SEG001</v>
      </c>
      <c r="N193" t="s">
        <v>33</v>
      </c>
      <c r="O193" s="2">
        <v>2</v>
      </c>
      <c r="P193" s="2">
        <v>120000</v>
      </c>
      <c r="Q193">
        <v>0.14000000000000001</v>
      </c>
      <c r="R193" s="2">
        <v>206400</v>
      </c>
    </row>
    <row r="194" spans="1:18" x14ac:dyDescent="0.25">
      <c r="A194" t="s">
        <v>261</v>
      </c>
      <c r="B194" s="1">
        <v>45574</v>
      </c>
      <c r="C194" s="1" t="s">
        <v>115</v>
      </c>
      <c r="D194" t="s">
        <v>116</v>
      </c>
      <c r="E194" t="s">
        <v>212</v>
      </c>
      <c r="F194" t="s">
        <v>213</v>
      </c>
      <c r="G194" t="s">
        <v>22</v>
      </c>
      <c r="H194" t="s">
        <v>23</v>
      </c>
      <c r="I194" t="s">
        <v>30</v>
      </c>
      <c r="J194" t="s">
        <v>31</v>
      </c>
      <c r="K194" t="s">
        <v>32</v>
      </c>
      <c r="L194" t="s">
        <v>43</v>
      </c>
      <c r="M194" t="str">
        <f>INDEX( dim_segment!$A$2:$A$5,MATCH(L194,  dim_segment!$B$2:$B$5, 0))</f>
        <v>SEG004</v>
      </c>
      <c r="N194" t="s">
        <v>28</v>
      </c>
      <c r="O194" s="2">
        <v>4</v>
      </c>
      <c r="P194" s="2">
        <v>60000</v>
      </c>
      <c r="Q194">
        <v>0.09</v>
      </c>
      <c r="R194" s="2">
        <v>218400</v>
      </c>
    </row>
    <row r="195" spans="1:18" x14ac:dyDescent="0.25">
      <c r="A195" t="s">
        <v>262</v>
      </c>
      <c r="B195" s="1">
        <v>45597</v>
      </c>
      <c r="C195" s="1" t="s">
        <v>125</v>
      </c>
      <c r="D195" t="s">
        <v>116</v>
      </c>
      <c r="E195" t="s">
        <v>212</v>
      </c>
      <c r="F195" t="s">
        <v>213</v>
      </c>
      <c r="G195" t="s">
        <v>22</v>
      </c>
      <c r="H195" t="s">
        <v>23</v>
      </c>
      <c r="I195" t="s">
        <v>35</v>
      </c>
      <c r="J195" t="s">
        <v>36</v>
      </c>
      <c r="K195" t="s">
        <v>32</v>
      </c>
      <c r="L195" t="s">
        <v>43</v>
      </c>
      <c r="M195" t="str">
        <f>INDEX( dim_segment!$A$2:$A$5,MATCH(L195,  dim_segment!$B$2:$B$5, 0))</f>
        <v>SEG004</v>
      </c>
      <c r="N195" t="s">
        <v>37</v>
      </c>
      <c r="O195" s="2">
        <v>5</v>
      </c>
      <c r="P195" s="2">
        <v>45000</v>
      </c>
      <c r="Q195">
        <v>0.1</v>
      </c>
      <c r="R195" s="2">
        <v>202500</v>
      </c>
    </row>
    <row r="196" spans="1:18" x14ac:dyDescent="0.25">
      <c r="A196" t="s">
        <v>263</v>
      </c>
      <c r="B196" s="1">
        <v>45609</v>
      </c>
      <c r="C196" s="1" t="s">
        <v>125</v>
      </c>
      <c r="D196" t="s">
        <v>116</v>
      </c>
      <c r="E196" t="s">
        <v>212</v>
      </c>
      <c r="F196" t="s">
        <v>213</v>
      </c>
      <c r="G196" t="s">
        <v>22</v>
      </c>
      <c r="H196" t="s">
        <v>23</v>
      </c>
      <c r="I196" t="s">
        <v>51</v>
      </c>
      <c r="J196" t="s">
        <v>52</v>
      </c>
      <c r="K196" t="s">
        <v>42</v>
      </c>
      <c r="L196" t="s">
        <v>27</v>
      </c>
      <c r="M196" t="str">
        <f>INDEX( dim_segment!$A$2:$A$5,MATCH(L196,  dim_segment!$B$2:$B$5, 0))</f>
        <v>SEG002</v>
      </c>
      <c r="N196" t="s">
        <v>37</v>
      </c>
      <c r="O196" s="2">
        <v>3</v>
      </c>
      <c r="P196" s="2">
        <v>150000</v>
      </c>
      <c r="Q196">
        <v>0.05</v>
      </c>
      <c r="R196" s="2">
        <v>427500</v>
      </c>
    </row>
    <row r="197" spans="1:18" x14ac:dyDescent="0.25">
      <c r="A197" t="s">
        <v>264</v>
      </c>
      <c r="B197" s="1">
        <v>45613</v>
      </c>
      <c r="C197" s="1" t="s">
        <v>125</v>
      </c>
      <c r="D197" t="s">
        <v>116</v>
      </c>
      <c r="E197" t="s">
        <v>212</v>
      </c>
      <c r="F197" t="s">
        <v>213</v>
      </c>
      <c r="G197" t="s">
        <v>22</v>
      </c>
      <c r="H197" t="s">
        <v>23</v>
      </c>
      <c r="I197" t="s">
        <v>40</v>
      </c>
      <c r="J197" t="s">
        <v>41</v>
      </c>
      <c r="K197" t="s">
        <v>42</v>
      </c>
      <c r="L197" t="s">
        <v>27</v>
      </c>
      <c r="M197" t="str">
        <f>INDEX( dim_segment!$A$2:$A$5,MATCH(L197,  dim_segment!$B$2:$B$5, 0))</f>
        <v>SEG002</v>
      </c>
      <c r="N197" t="s">
        <v>37</v>
      </c>
      <c r="O197" s="2">
        <v>2</v>
      </c>
      <c r="P197" s="2">
        <v>85000</v>
      </c>
      <c r="Q197">
        <v>0.11</v>
      </c>
      <c r="R197" s="2">
        <v>151300</v>
      </c>
    </row>
    <row r="198" spans="1:18" x14ac:dyDescent="0.25">
      <c r="A198" t="s">
        <v>265</v>
      </c>
      <c r="B198" s="1">
        <v>45622</v>
      </c>
      <c r="C198" s="1" t="s">
        <v>125</v>
      </c>
      <c r="D198" t="s">
        <v>116</v>
      </c>
      <c r="E198" t="s">
        <v>212</v>
      </c>
      <c r="F198" t="s">
        <v>213</v>
      </c>
      <c r="G198" t="s">
        <v>22</v>
      </c>
      <c r="H198" t="s">
        <v>23</v>
      </c>
      <c r="I198" t="s">
        <v>35</v>
      </c>
      <c r="J198" t="s">
        <v>36</v>
      </c>
      <c r="K198" t="s">
        <v>32</v>
      </c>
      <c r="L198" t="s">
        <v>23</v>
      </c>
      <c r="M198" t="str">
        <f>INDEX( dim_segment!$A$2:$A$5,MATCH(L198,  dim_segment!$B$2:$B$5, 0))</f>
        <v>SEG001</v>
      </c>
      <c r="N198" t="s">
        <v>33</v>
      </c>
      <c r="O198" s="2">
        <v>2</v>
      </c>
      <c r="P198" s="2">
        <v>45000</v>
      </c>
      <c r="Q198">
        <v>0.17</v>
      </c>
      <c r="R198" s="2">
        <v>74700</v>
      </c>
    </row>
    <row r="199" spans="1:18" x14ac:dyDescent="0.25">
      <c r="A199" t="s">
        <v>266</v>
      </c>
      <c r="B199" s="1">
        <v>45606</v>
      </c>
      <c r="C199" s="1" t="s">
        <v>125</v>
      </c>
      <c r="D199" t="s">
        <v>116</v>
      </c>
      <c r="E199" t="s">
        <v>212</v>
      </c>
      <c r="F199" t="s">
        <v>213</v>
      </c>
      <c r="G199" t="s">
        <v>22</v>
      </c>
      <c r="H199" t="s">
        <v>23</v>
      </c>
      <c r="I199" t="s">
        <v>40</v>
      </c>
      <c r="J199" t="s">
        <v>41</v>
      </c>
      <c r="K199" t="s">
        <v>42</v>
      </c>
      <c r="L199" t="s">
        <v>43</v>
      </c>
      <c r="M199" t="str">
        <f>INDEX( dim_segment!$A$2:$A$5,MATCH(L199,  dim_segment!$B$2:$B$5, 0))</f>
        <v>SEG004</v>
      </c>
      <c r="N199" t="s">
        <v>33</v>
      </c>
      <c r="O199" s="2">
        <v>5</v>
      </c>
      <c r="P199" s="2">
        <v>85000</v>
      </c>
      <c r="Q199">
        <v>0.18</v>
      </c>
      <c r="R199" s="2">
        <v>348500</v>
      </c>
    </row>
    <row r="200" spans="1:18" x14ac:dyDescent="0.25">
      <c r="A200" t="s">
        <v>267</v>
      </c>
      <c r="B200" s="1">
        <v>45615</v>
      </c>
      <c r="C200" s="1" t="s">
        <v>125</v>
      </c>
      <c r="D200" t="s">
        <v>116</v>
      </c>
      <c r="E200" t="s">
        <v>212</v>
      </c>
      <c r="F200" t="s">
        <v>213</v>
      </c>
      <c r="G200" t="s">
        <v>22</v>
      </c>
      <c r="H200" t="s">
        <v>23</v>
      </c>
      <c r="I200" t="s">
        <v>51</v>
      </c>
      <c r="J200" t="s">
        <v>52</v>
      </c>
      <c r="K200" t="s">
        <v>42</v>
      </c>
      <c r="L200" t="s">
        <v>65</v>
      </c>
      <c r="M200" t="str">
        <f>INDEX( dim_segment!$A$2:$A$5,MATCH(L200,  dim_segment!$B$2:$B$5, 0))</f>
        <v>SEG003</v>
      </c>
      <c r="N200" t="s">
        <v>28</v>
      </c>
      <c r="O200" s="2">
        <v>5</v>
      </c>
      <c r="P200" s="2">
        <v>150000</v>
      </c>
      <c r="Q200">
        <v>0.06</v>
      </c>
      <c r="R200" s="2">
        <v>705000</v>
      </c>
    </row>
    <row r="201" spans="1:18" x14ac:dyDescent="0.25">
      <c r="A201" t="s">
        <v>268</v>
      </c>
      <c r="B201" s="1">
        <v>45618</v>
      </c>
      <c r="C201" s="1" t="s">
        <v>125</v>
      </c>
      <c r="D201" t="s">
        <v>116</v>
      </c>
      <c r="E201" t="s">
        <v>212</v>
      </c>
      <c r="F201" t="s">
        <v>213</v>
      </c>
      <c r="G201" t="s">
        <v>22</v>
      </c>
      <c r="H201" t="s">
        <v>23</v>
      </c>
      <c r="I201" t="s">
        <v>47</v>
      </c>
      <c r="J201" t="s">
        <v>48</v>
      </c>
      <c r="K201" t="s">
        <v>49</v>
      </c>
      <c r="L201" t="s">
        <v>23</v>
      </c>
      <c r="M201" t="str">
        <f>INDEX( dim_segment!$A$2:$A$5,MATCH(L201,  dim_segment!$B$2:$B$5, 0))</f>
        <v>SEG001</v>
      </c>
      <c r="N201" t="s">
        <v>54</v>
      </c>
      <c r="O201" s="2">
        <v>3</v>
      </c>
      <c r="P201" s="2">
        <v>200000</v>
      </c>
      <c r="Q201">
        <v>7.0000000000000007E-2</v>
      </c>
      <c r="R201" s="2">
        <v>558000</v>
      </c>
    </row>
    <row r="202" spans="1:18" x14ac:dyDescent="0.25">
      <c r="A202" t="s">
        <v>269</v>
      </c>
      <c r="B202" s="1">
        <v>45615</v>
      </c>
      <c r="C202" s="1" t="s">
        <v>125</v>
      </c>
      <c r="D202" t="s">
        <v>116</v>
      </c>
      <c r="E202" t="s">
        <v>212</v>
      </c>
      <c r="F202" t="s">
        <v>213</v>
      </c>
      <c r="G202" t="s">
        <v>22</v>
      </c>
      <c r="H202" t="s">
        <v>23</v>
      </c>
      <c r="I202" t="s">
        <v>30</v>
      </c>
      <c r="J202" t="s">
        <v>31</v>
      </c>
      <c r="K202" t="s">
        <v>32</v>
      </c>
      <c r="L202" t="s">
        <v>27</v>
      </c>
      <c r="M202" t="str">
        <f>INDEX( dim_segment!$A$2:$A$5,MATCH(L202,  dim_segment!$B$2:$B$5, 0))</f>
        <v>SEG002</v>
      </c>
      <c r="N202" t="s">
        <v>28</v>
      </c>
      <c r="O202" s="2">
        <v>2</v>
      </c>
      <c r="P202" s="2">
        <v>60000</v>
      </c>
      <c r="Q202">
        <v>0.16</v>
      </c>
      <c r="R202" s="2">
        <v>100800</v>
      </c>
    </row>
    <row r="203" spans="1:18" x14ac:dyDescent="0.25">
      <c r="A203" t="s">
        <v>270</v>
      </c>
      <c r="B203" s="1">
        <v>45639</v>
      </c>
      <c r="C203" s="1" t="s">
        <v>134</v>
      </c>
      <c r="D203" t="s">
        <v>116</v>
      </c>
      <c r="E203" t="s">
        <v>212</v>
      </c>
      <c r="F203" t="s">
        <v>213</v>
      </c>
      <c r="G203" t="s">
        <v>22</v>
      </c>
      <c r="H203" t="s">
        <v>23</v>
      </c>
      <c r="I203" t="s">
        <v>60</v>
      </c>
      <c r="J203" t="s">
        <v>61</v>
      </c>
      <c r="K203" t="s">
        <v>26</v>
      </c>
      <c r="L203" t="s">
        <v>43</v>
      </c>
      <c r="M203" t="str">
        <f>INDEX( dim_segment!$A$2:$A$5,MATCH(L203,  dim_segment!$B$2:$B$5, 0))</f>
        <v>SEG004</v>
      </c>
      <c r="N203" t="s">
        <v>37</v>
      </c>
      <c r="O203" s="2">
        <v>1</v>
      </c>
      <c r="P203" s="2">
        <v>95000</v>
      </c>
      <c r="Q203">
        <v>0.1</v>
      </c>
      <c r="R203" s="2">
        <v>85500</v>
      </c>
    </row>
    <row r="204" spans="1:18" x14ac:dyDescent="0.25">
      <c r="A204" t="s">
        <v>271</v>
      </c>
      <c r="B204" s="1">
        <v>45629</v>
      </c>
      <c r="C204" s="1" t="s">
        <v>134</v>
      </c>
      <c r="D204" t="s">
        <v>116</v>
      </c>
      <c r="E204" t="s">
        <v>212</v>
      </c>
      <c r="F204" t="s">
        <v>213</v>
      </c>
      <c r="G204" t="s">
        <v>22</v>
      </c>
      <c r="H204" t="s">
        <v>23</v>
      </c>
      <c r="I204" t="s">
        <v>51</v>
      </c>
      <c r="J204" t="s">
        <v>52</v>
      </c>
      <c r="K204" t="s">
        <v>42</v>
      </c>
      <c r="L204" t="s">
        <v>23</v>
      </c>
      <c r="M204" t="str">
        <f>INDEX( dim_segment!$A$2:$A$5,MATCH(L204,  dim_segment!$B$2:$B$5, 0))</f>
        <v>SEG001</v>
      </c>
      <c r="N204" t="s">
        <v>33</v>
      </c>
      <c r="O204" s="2">
        <v>2</v>
      </c>
      <c r="P204" s="2">
        <v>150000</v>
      </c>
      <c r="Q204">
        <v>0.08</v>
      </c>
      <c r="R204" s="2">
        <v>276000</v>
      </c>
    </row>
    <row r="205" spans="1:18" x14ac:dyDescent="0.25">
      <c r="A205" t="s">
        <v>272</v>
      </c>
      <c r="B205" s="1">
        <v>45646</v>
      </c>
      <c r="C205" s="1" t="s">
        <v>134</v>
      </c>
      <c r="D205" t="s">
        <v>116</v>
      </c>
      <c r="E205" t="s">
        <v>212</v>
      </c>
      <c r="F205" t="s">
        <v>213</v>
      </c>
      <c r="G205" t="s">
        <v>22</v>
      </c>
      <c r="H205" t="s">
        <v>23</v>
      </c>
      <c r="I205" t="s">
        <v>30</v>
      </c>
      <c r="J205" t="s">
        <v>31</v>
      </c>
      <c r="K205" t="s">
        <v>32</v>
      </c>
      <c r="L205" t="s">
        <v>27</v>
      </c>
      <c r="M205" t="str">
        <f>INDEX( dim_segment!$A$2:$A$5,MATCH(L205,  dim_segment!$B$2:$B$5, 0))</f>
        <v>SEG002</v>
      </c>
      <c r="N205" t="s">
        <v>28</v>
      </c>
      <c r="O205" s="2">
        <v>5</v>
      </c>
      <c r="P205" s="2">
        <v>60000</v>
      </c>
      <c r="Q205">
        <v>0.12</v>
      </c>
      <c r="R205" s="2">
        <v>264000</v>
      </c>
    </row>
    <row r="206" spans="1:18" x14ac:dyDescent="0.25">
      <c r="A206" t="s">
        <v>273</v>
      </c>
      <c r="B206" s="1">
        <v>45629</v>
      </c>
      <c r="C206" s="1" t="s">
        <v>134</v>
      </c>
      <c r="D206" t="s">
        <v>116</v>
      </c>
      <c r="E206" t="s">
        <v>212</v>
      </c>
      <c r="F206" t="s">
        <v>213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23</v>
      </c>
      <c r="M206" t="str">
        <f>INDEX( dim_segment!$A$2:$A$5,MATCH(L206,  dim_segment!$B$2:$B$5, 0))</f>
        <v>SEG001</v>
      </c>
      <c r="N206" t="s">
        <v>37</v>
      </c>
      <c r="O206" s="2">
        <v>3</v>
      </c>
      <c r="P206" s="2">
        <v>75000</v>
      </c>
      <c r="Q206">
        <v>0.17</v>
      </c>
      <c r="R206" s="2">
        <v>186800</v>
      </c>
    </row>
    <row r="207" spans="1:18" x14ac:dyDescent="0.25">
      <c r="A207" t="s">
        <v>274</v>
      </c>
      <c r="B207" s="1">
        <v>45643</v>
      </c>
      <c r="C207" s="1" t="s">
        <v>134</v>
      </c>
      <c r="D207" t="s">
        <v>116</v>
      </c>
      <c r="E207" t="s">
        <v>212</v>
      </c>
      <c r="F207" t="s">
        <v>213</v>
      </c>
      <c r="G207" t="s">
        <v>22</v>
      </c>
      <c r="H207" t="s">
        <v>23</v>
      </c>
      <c r="I207" t="s">
        <v>60</v>
      </c>
      <c r="J207" t="s">
        <v>61</v>
      </c>
      <c r="K207" t="s">
        <v>26</v>
      </c>
      <c r="L207" t="s">
        <v>23</v>
      </c>
      <c r="M207" t="str">
        <f>INDEX( dim_segment!$A$2:$A$5,MATCH(L207,  dim_segment!$B$2:$B$5, 0))</f>
        <v>SEG001</v>
      </c>
      <c r="N207" t="s">
        <v>54</v>
      </c>
      <c r="O207" s="2">
        <v>2</v>
      </c>
      <c r="P207" s="2">
        <v>95000</v>
      </c>
      <c r="Q207">
        <v>0.08</v>
      </c>
      <c r="R207" s="2">
        <v>174800</v>
      </c>
    </row>
    <row r="208" spans="1:18" x14ac:dyDescent="0.25">
      <c r="A208" t="s">
        <v>275</v>
      </c>
      <c r="B208" s="1">
        <v>45307</v>
      </c>
      <c r="C208" s="1" t="s">
        <v>18</v>
      </c>
      <c r="D208" t="s">
        <v>19</v>
      </c>
      <c r="E208" t="s">
        <v>276</v>
      </c>
      <c r="F208" t="s">
        <v>277</v>
      </c>
      <c r="G208" t="s">
        <v>278</v>
      </c>
      <c r="H208" t="s">
        <v>27</v>
      </c>
      <c r="I208" t="s">
        <v>24</v>
      </c>
      <c r="J208" t="s">
        <v>25</v>
      </c>
      <c r="K208" t="s">
        <v>26</v>
      </c>
      <c r="L208" t="s">
        <v>27</v>
      </c>
      <c r="M208" t="str">
        <f>INDEX( dim_segment!$A$2:$A$5,MATCH(L208,  dim_segment!$B$2:$B$5, 0))</f>
        <v>SEG002</v>
      </c>
      <c r="N208" t="s">
        <v>37</v>
      </c>
      <c r="O208" s="2">
        <v>2</v>
      </c>
      <c r="P208" s="2">
        <v>75000</v>
      </c>
      <c r="Q208">
        <v>0.06</v>
      </c>
      <c r="R208" s="2">
        <v>141000</v>
      </c>
    </row>
    <row r="209" spans="1:18" x14ac:dyDescent="0.25">
      <c r="A209" t="s">
        <v>279</v>
      </c>
      <c r="B209" s="1">
        <v>45315</v>
      </c>
      <c r="C209" s="1" t="s">
        <v>18</v>
      </c>
      <c r="D209" t="s">
        <v>19</v>
      </c>
      <c r="E209" t="s">
        <v>276</v>
      </c>
      <c r="F209" t="s">
        <v>277</v>
      </c>
      <c r="G209" t="s">
        <v>278</v>
      </c>
      <c r="H209" t="s">
        <v>27</v>
      </c>
      <c r="I209" t="s">
        <v>24</v>
      </c>
      <c r="J209" t="s">
        <v>25</v>
      </c>
      <c r="K209" t="s">
        <v>26</v>
      </c>
      <c r="L209" t="s">
        <v>27</v>
      </c>
      <c r="M209" t="str">
        <f>INDEX( dim_segment!$A$2:$A$5,MATCH(L209,  dim_segment!$B$2:$B$5, 0))</f>
        <v>SEG002</v>
      </c>
      <c r="N209" t="s">
        <v>33</v>
      </c>
      <c r="O209" s="2">
        <v>5</v>
      </c>
      <c r="P209" s="2">
        <v>75000</v>
      </c>
      <c r="Q209">
        <v>7.0000000000000007E-2</v>
      </c>
      <c r="R209" s="2">
        <v>348800</v>
      </c>
    </row>
    <row r="210" spans="1:18" x14ac:dyDescent="0.25">
      <c r="A210" t="s">
        <v>280</v>
      </c>
      <c r="B210" s="1">
        <v>45337</v>
      </c>
      <c r="C210" s="1" t="s">
        <v>46</v>
      </c>
      <c r="D210" t="s">
        <v>19</v>
      </c>
      <c r="E210" t="s">
        <v>276</v>
      </c>
      <c r="F210" t="s">
        <v>277</v>
      </c>
      <c r="G210" t="s">
        <v>278</v>
      </c>
      <c r="H210" t="s">
        <v>27</v>
      </c>
      <c r="I210" t="s">
        <v>30</v>
      </c>
      <c r="J210" t="s">
        <v>31</v>
      </c>
      <c r="K210" t="s">
        <v>32</v>
      </c>
      <c r="L210" t="s">
        <v>43</v>
      </c>
      <c r="M210" t="str">
        <f>INDEX( dim_segment!$A$2:$A$5,MATCH(L210,  dim_segment!$B$2:$B$5, 0))</f>
        <v>SEG004</v>
      </c>
      <c r="N210" t="s">
        <v>37</v>
      </c>
      <c r="O210" s="2">
        <v>2</v>
      </c>
      <c r="P210" s="2">
        <v>60000</v>
      </c>
      <c r="Q210">
        <v>0.02</v>
      </c>
      <c r="R210" s="2">
        <v>117600</v>
      </c>
    </row>
    <row r="211" spans="1:18" x14ac:dyDescent="0.25">
      <c r="A211" t="s">
        <v>281</v>
      </c>
      <c r="B211" s="1">
        <v>45342</v>
      </c>
      <c r="C211" s="1" t="s">
        <v>46</v>
      </c>
      <c r="D211" t="s">
        <v>19</v>
      </c>
      <c r="E211" t="s">
        <v>276</v>
      </c>
      <c r="F211" t="s">
        <v>277</v>
      </c>
      <c r="G211" t="s">
        <v>278</v>
      </c>
      <c r="H211" t="s">
        <v>27</v>
      </c>
      <c r="I211" t="s">
        <v>47</v>
      </c>
      <c r="J211" t="s">
        <v>48</v>
      </c>
      <c r="K211" t="s">
        <v>49</v>
      </c>
      <c r="L211" t="s">
        <v>23</v>
      </c>
      <c r="M211" t="str">
        <f>INDEX( dim_segment!$A$2:$A$5,MATCH(L211,  dim_segment!$B$2:$B$5, 0))</f>
        <v>SEG001</v>
      </c>
      <c r="N211" t="s">
        <v>28</v>
      </c>
      <c r="O211" s="2">
        <v>4</v>
      </c>
      <c r="P211" s="2">
        <v>200000</v>
      </c>
      <c r="Q211">
        <v>0.04</v>
      </c>
      <c r="R211" s="2">
        <v>768000</v>
      </c>
    </row>
    <row r="212" spans="1:18" x14ac:dyDescent="0.25">
      <c r="A212" t="s">
        <v>282</v>
      </c>
      <c r="B212" s="1">
        <v>45323</v>
      </c>
      <c r="C212" s="1" t="s">
        <v>46</v>
      </c>
      <c r="D212" t="s">
        <v>19</v>
      </c>
      <c r="E212" t="s">
        <v>276</v>
      </c>
      <c r="F212" t="s">
        <v>277</v>
      </c>
      <c r="G212" t="s">
        <v>278</v>
      </c>
      <c r="H212" t="s">
        <v>27</v>
      </c>
      <c r="I212" t="s">
        <v>60</v>
      </c>
      <c r="J212" t="s">
        <v>61</v>
      </c>
      <c r="K212" t="s">
        <v>26</v>
      </c>
      <c r="L212" t="s">
        <v>43</v>
      </c>
      <c r="M212" t="str">
        <f>INDEX( dim_segment!$A$2:$A$5,MATCH(L212,  dim_segment!$B$2:$B$5, 0))</f>
        <v>SEG004</v>
      </c>
      <c r="N212" t="s">
        <v>33</v>
      </c>
      <c r="O212" s="2">
        <v>5</v>
      </c>
      <c r="P212" s="2">
        <v>95000</v>
      </c>
      <c r="Q212">
        <v>0.08</v>
      </c>
      <c r="R212" s="2">
        <v>437000</v>
      </c>
    </row>
    <row r="213" spans="1:18" x14ac:dyDescent="0.25">
      <c r="A213" t="s">
        <v>283</v>
      </c>
      <c r="B213" s="1">
        <v>45337</v>
      </c>
      <c r="C213" s="1" t="s">
        <v>46</v>
      </c>
      <c r="D213" t="s">
        <v>19</v>
      </c>
      <c r="E213" t="s">
        <v>276</v>
      </c>
      <c r="F213" t="s">
        <v>277</v>
      </c>
      <c r="G213" t="s">
        <v>278</v>
      </c>
      <c r="H213" t="s">
        <v>27</v>
      </c>
      <c r="I213" t="s">
        <v>51</v>
      </c>
      <c r="J213" t="s">
        <v>52</v>
      </c>
      <c r="K213" t="s">
        <v>42</v>
      </c>
      <c r="L213" t="s">
        <v>43</v>
      </c>
      <c r="M213" t="str">
        <f>INDEX( dim_segment!$A$2:$A$5,MATCH(L213,  dim_segment!$B$2:$B$5, 0))</f>
        <v>SEG004</v>
      </c>
      <c r="N213" t="s">
        <v>33</v>
      </c>
      <c r="O213" s="2">
        <v>2</v>
      </c>
      <c r="P213" s="2">
        <v>150000</v>
      </c>
      <c r="Q213">
        <v>0.11</v>
      </c>
      <c r="R213" s="2">
        <v>267000</v>
      </c>
    </row>
    <row r="214" spans="1:18" x14ac:dyDescent="0.25">
      <c r="A214" t="s">
        <v>284</v>
      </c>
      <c r="B214" s="1">
        <v>45330</v>
      </c>
      <c r="C214" s="1" t="s">
        <v>46</v>
      </c>
      <c r="D214" t="s">
        <v>19</v>
      </c>
      <c r="E214" t="s">
        <v>276</v>
      </c>
      <c r="F214" t="s">
        <v>277</v>
      </c>
      <c r="G214" t="s">
        <v>278</v>
      </c>
      <c r="H214" t="s">
        <v>27</v>
      </c>
      <c r="I214" t="s">
        <v>51</v>
      </c>
      <c r="J214" t="s">
        <v>52</v>
      </c>
      <c r="K214" t="s">
        <v>42</v>
      </c>
      <c r="L214" t="s">
        <v>43</v>
      </c>
      <c r="M214" t="str">
        <f>INDEX( dim_segment!$A$2:$A$5,MATCH(L214,  dim_segment!$B$2:$B$5, 0))</f>
        <v>SEG004</v>
      </c>
      <c r="N214" t="s">
        <v>28</v>
      </c>
      <c r="O214" s="2">
        <v>2</v>
      </c>
      <c r="P214" s="2">
        <v>150000</v>
      </c>
      <c r="Q214">
        <v>0.03</v>
      </c>
      <c r="R214" s="2">
        <v>291000</v>
      </c>
    </row>
    <row r="215" spans="1:18" x14ac:dyDescent="0.25">
      <c r="A215" t="s">
        <v>285</v>
      </c>
      <c r="B215" s="1">
        <v>45343</v>
      </c>
      <c r="C215" s="1" t="s">
        <v>46</v>
      </c>
      <c r="D215" t="s">
        <v>19</v>
      </c>
      <c r="E215" t="s">
        <v>276</v>
      </c>
      <c r="F215" t="s">
        <v>277</v>
      </c>
      <c r="G215" t="s">
        <v>278</v>
      </c>
      <c r="H215" t="s">
        <v>27</v>
      </c>
      <c r="I215" t="s">
        <v>30</v>
      </c>
      <c r="J215" t="s">
        <v>31</v>
      </c>
      <c r="K215" t="s">
        <v>32</v>
      </c>
      <c r="L215" t="s">
        <v>65</v>
      </c>
      <c r="M215" t="str">
        <f>INDEX( dim_segment!$A$2:$A$5,MATCH(L215,  dim_segment!$B$2:$B$5, 0))</f>
        <v>SEG003</v>
      </c>
      <c r="N215" t="s">
        <v>54</v>
      </c>
      <c r="O215" s="2">
        <v>2</v>
      </c>
      <c r="P215" s="2">
        <v>60000</v>
      </c>
      <c r="Q215">
        <v>0.04</v>
      </c>
      <c r="R215" s="2">
        <v>115200</v>
      </c>
    </row>
    <row r="216" spans="1:18" x14ac:dyDescent="0.25">
      <c r="A216" t="s">
        <v>286</v>
      </c>
      <c r="B216" s="1">
        <v>45336</v>
      </c>
      <c r="C216" s="1" t="s">
        <v>46</v>
      </c>
      <c r="D216" t="s">
        <v>19</v>
      </c>
      <c r="E216" t="s">
        <v>276</v>
      </c>
      <c r="F216" t="s">
        <v>277</v>
      </c>
      <c r="G216" t="s">
        <v>278</v>
      </c>
      <c r="H216" t="s">
        <v>27</v>
      </c>
      <c r="I216" t="s">
        <v>60</v>
      </c>
      <c r="J216" t="s">
        <v>61</v>
      </c>
      <c r="K216" t="s">
        <v>26</v>
      </c>
      <c r="L216" t="s">
        <v>43</v>
      </c>
      <c r="M216" t="str">
        <f>INDEX( dim_segment!$A$2:$A$5,MATCH(L216,  dim_segment!$B$2:$B$5, 0))</f>
        <v>SEG004</v>
      </c>
      <c r="N216" t="s">
        <v>28</v>
      </c>
      <c r="O216" s="2">
        <v>1</v>
      </c>
      <c r="P216" s="2">
        <v>95000</v>
      </c>
      <c r="Q216">
        <v>0.09</v>
      </c>
      <c r="R216" s="2">
        <v>86400</v>
      </c>
    </row>
    <row r="217" spans="1:18" x14ac:dyDescent="0.25">
      <c r="A217" t="s">
        <v>287</v>
      </c>
      <c r="B217" s="1">
        <v>45358</v>
      </c>
      <c r="C217" s="1" t="s">
        <v>56</v>
      </c>
      <c r="D217" t="s">
        <v>19</v>
      </c>
      <c r="E217" t="s">
        <v>276</v>
      </c>
      <c r="F217" t="s">
        <v>277</v>
      </c>
      <c r="G217" t="s">
        <v>278</v>
      </c>
      <c r="H217" t="s">
        <v>27</v>
      </c>
      <c r="I217" t="s">
        <v>51</v>
      </c>
      <c r="J217" t="s">
        <v>52</v>
      </c>
      <c r="K217" t="s">
        <v>42</v>
      </c>
      <c r="L217" t="s">
        <v>65</v>
      </c>
      <c r="M217" t="str">
        <f>INDEX( dim_segment!$A$2:$A$5,MATCH(L217,  dim_segment!$B$2:$B$5, 0))</f>
        <v>SEG003</v>
      </c>
      <c r="N217" t="s">
        <v>37</v>
      </c>
      <c r="O217" s="2">
        <v>3</v>
      </c>
      <c r="P217" s="2">
        <v>150000</v>
      </c>
      <c r="Q217">
        <v>0.06</v>
      </c>
      <c r="R217" s="2">
        <v>423000</v>
      </c>
    </row>
    <row r="218" spans="1:18" x14ac:dyDescent="0.25">
      <c r="A218" t="s">
        <v>288</v>
      </c>
      <c r="B218" s="1">
        <v>45366</v>
      </c>
      <c r="C218" s="1" t="s">
        <v>56</v>
      </c>
      <c r="D218" t="s">
        <v>19</v>
      </c>
      <c r="E218" t="s">
        <v>276</v>
      </c>
      <c r="F218" t="s">
        <v>277</v>
      </c>
      <c r="G218" t="s">
        <v>278</v>
      </c>
      <c r="H218" t="s">
        <v>27</v>
      </c>
      <c r="I218" t="s">
        <v>40</v>
      </c>
      <c r="J218" t="s">
        <v>41</v>
      </c>
      <c r="K218" t="s">
        <v>42</v>
      </c>
      <c r="L218" t="s">
        <v>65</v>
      </c>
      <c r="M218" t="str">
        <f>INDEX( dim_segment!$A$2:$A$5,MATCH(L218,  dim_segment!$B$2:$B$5, 0))</f>
        <v>SEG003</v>
      </c>
      <c r="N218" t="s">
        <v>33</v>
      </c>
      <c r="O218" s="2">
        <v>2</v>
      </c>
      <c r="P218" s="2">
        <v>85000</v>
      </c>
      <c r="Q218">
        <v>0.06</v>
      </c>
      <c r="R218" s="2">
        <v>159800</v>
      </c>
    </row>
    <row r="219" spans="1:18" x14ac:dyDescent="0.25">
      <c r="A219" t="s">
        <v>289</v>
      </c>
      <c r="B219" s="1">
        <v>45370</v>
      </c>
      <c r="C219" s="1" t="s">
        <v>56</v>
      </c>
      <c r="D219" t="s">
        <v>19</v>
      </c>
      <c r="E219" t="s">
        <v>276</v>
      </c>
      <c r="F219" t="s">
        <v>277</v>
      </c>
      <c r="G219" t="s">
        <v>278</v>
      </c>
      <c r="H219" t="s">
        <v>27</v>
      </c>
      <c r="I219" t="s">
        <v>30</v>
      </c>
      <c r="J219" t="s">
        <v>31</v>
      </c>
      <c r="K219" t="s">
        <v>32</v>
      </c>
      <c r="L219" t="s">
        <v>23</v>
      </c>
      <c r="M219" t="str">
        <f>INDEX( dim_segment!$A$2:$A$5,MATCH(L219,  dim_segment!$B$2:$B$5, 0))</f>
        <v>SEG001</v>
      </c>
      <c r="N219" t="s">
        <v>37</v>
      </c>
      <c r="O219" s="2">
        <v>1</v>
      </c>
      <c r="P219" s="2">
        <v>60000</v>
      </c>
      <c r="Q219">
        <v>0.01</v>
      </c>
      <c r="R219" s="2">
        <v>59400</v>
      </c>
    </row>
    <row r="220" spans="1:18" x14ac:dyDescent="0.25">
      <c r="A220" t="s">
        <v>290</v>
      </c>
      <c r="B220" s="1">
        <v>45377</v>
      </c>
      <c r="C220" s="1" t="s">
        <v>56</v>
      </c>
      <c r="D220" t="s">
        <v>19</v>
      </c>
      <c r="E220" t="s">
        <v>276</v>
      </c>
      <c r="F220" t="s">
        <v>277</v>
      </c>
      <c r="G220" t="s">
        <v>278</v>
      </c>
      <c r="H220" t="s">
        <v>27</v>
      </c>
      <c r="I220" t="s">
        <v>75</v>
      </c>
      <c r="J220" t="s">
        <v>76</v>
      </c>
      <c r="K220" t="s">
        <v>49</v>
      </c>
      <c r="L220" t="s">
        <v>23</v>
      </c>
      <c r="M220" t="str">
        <f>INDEX( dim_segment!$A$2:$A$5,MATCH(L220,  dim_segment!$B$2:$B$5, 0))</f>
        <v>SEG001</v>
      </c>
      <c r="N220" t="s">
        <v>33</v>
      </c>
      <c r="O220" s="2">
        <v>4</v>
      </c>
      <c r="P220" s="2">
        <v>120000</v>
      </c>
      <c r="Q220">
        <v>0</v>
      </c>
      <c r="R220" s="2">
        <v>480000</v>
      </c>
    </row>
    <row r="221" spans="1:18" x14ac:dyDescent="0.25">
      <c r="A221" t="s">
        <v>291</v>
      </c>
      <c r="B221" s="1">
        <v>45403</v>
      </c>
      <c r="C221" s="1" t="s">
        <v>67</v>
      </c>
      <c r="D221" t="s">
        <v>68</v>
      </c>
      <c r="E221" t="s">
        <v>276</v>
      </c>
      <c r="F221" t="s">
        <v>277</v>
      </c>
      <c r="G221" t="s">
        <v>278</v>
      </c>
      <c r="H221" t="s">
        <v>27</v>
      </c>
      <c r="I221" t="s">
        <v>30</v>
      </c>
      <c r="J221" t="s">
        <v>31</v>
      </c>
      <c r="K221" t="s">
        <v>32</v>
      </c>
      <c r="L221" t="s">
        <v>43</v>
      </c>
      <c r="M221" t="str">
        <f>INDEX( dim_segment!$A$2:$A$5,MATCH(L221,  dim_segment!$B$2:$B$5, 0))</f>
        <v>SEG004</v>
      </c>
      <c r="N221" t="s">
        <v>37</v>
      </c>
      <c r="O221" s="2">
        <v>2</v>
      </c>
      <c r="P221" s="2">
        <v>60000</v>
      </c>
      <c r="Q221">
        <v>0.1</v>
      </c>
      <c r="R221" s="2">
        <v>108000</v>
      </c>
    </row>
    <row r="222" spans="1:18" x14ac:dyDescent="0.25">
      <c r="A222" t="s">
        <v>292</v>
      </c>
      <c r="B222" s="1">
        <v>45401</v>
      </c>
      <c r="C222" s="1" t="s">
        <v>67</v>
      </c>
      <c r="D222" t="s">
        <v>68</v>
      </c>
      <c r="E222" t="s">
        <v>276</v>
      </c>
      <c r="F222" t="s">
        <v>277</v>
      </c>
      <c r="G222" t="s">
        <v>278</v>
      </c>
      <c r="H222" t="s">
        <v>27</v>
      </c>
      <c r="I222" t="s">
        <v>51</v>
      </c>
      <c r="J222" t="s">
        <v>52</v>
      </c>
      <c r="K222" t="s">
        <v>42</v>
      </c>
      <c r="L222" t="s">
        <v>43</v>
      </c>
      <c r="M222" t="str">
        <f>INDEX( dim_segment!$A$2:$A$5,MATCH(L222,  dim_segment!$B$2:$B$5, 0))</f>
        <v>SEG004</v>
      </c>
      <c r="N222" t="s">
        <v>33</v>
      </c>
      <c r="O222" s="2">
        <v>2</v>
      </c>
      <c r="P222" s="2">
        <v>150000</v>
      </c>
      <c r="Q222">
        <v>0.08</v>
      </c>
      <c r="R222" s="2">
        <v>276000</v>
      </c>
    </row>
    <row r="223" spans="1:18" x14ac:dyDescent="0.25">
      <c r="A223" t="s">
        <v>293</v>
      </c>
      <c r="B223" s="1">
        <v>45385</v>
      </c>
      <c r="C223" s="1" t="s">
        <v>67</v>
      </c>
      <c r="D223" t="s">
        <v>68</v>
      </c>
      <c r="E223" t="s">
        <v>276</v>
      </c>
      <c r="F223" t="s">
        <v>277</v>
      </c>
      <c r="G223" t="s">
        <v>278</v>
      </c>
      <c r="H223" t="s">
        <v>27</v>
      </c>
      <c r="I223" t="s">
        <v>51</v>
      </c>
      <c r="J223" t="s">
        <v>52</v>
      </c>
      <c r="K223" t="s">
        <v>42</v>
      </c>
      <c r="L223" t="s">
        <v>43</v>
      </c>
      <c r="M223" t="str">
        <f>INDEX( dim_segment!$A$2:$A$5,MATCH(L223,  dim_segment!$B$2:$B$5, 0))</f>
        <v>SEG004</v>
      </c>
      <c r="N223" t="s">
        <v>28</v>
      </c>
      <c r="O223" s="2">
        <v>2</v>
      </c>
      <c r="P223" s="2">
        <v>150000</v>
      </c>
      <c r="Q223">
        <v>7.0000000000000007E-2</v>
      </c>
      <c r="R223" s="2">
        <v>279000</v>
      </c>
    </row>
    <row r="224" spans="1:18" x14ac:dyDescent="0.25">
      <c r="A224" t="s">
        <v>294</v>
      </c>
      <c r="B224" s="1">
        <v>45428</v>
      </c>
      <c r="C224" s="1" t="s">
        <v>78</v>
      </c>
      <c r="D224" t="s">
        <v>68</v>
      </c>
      <c r="E224" t="s">
        <v>276</v>
      </c>
      <c r="F224" t="s">
        <v>277</v>
      </c>
      <c r="G224" t="s">
        <v>278</v>
      </c>
      <c r="H224" t="s">
        <v>27</v>
      </c>
      <c r="I224" t="s">
        <v>35</v>
      </c>
      <c r="J224" t="s">
        <v>36</v>
      </c>
      <c r="K224" t="s">
        <v>32</v>
      </c>
      <c r="L224" t="s">
        <v>65</v>
      </c>
      <c r="M224" t="str">
        <f>INDEX( dim_segment!$A$2:$A$5,MATCH(L224,  dim_segment!$B$2:$B$5, 0))</f>
        <v>SEG003</v>
      </c>
      <c r="N224" t="s">
        <v>54</v>
      </c>
      <c r="O224" s="2">
        <v>2</v>
      </c>
      <c r="P224" s="2">
        <v>45000</v>
      </c>
      <c r="Q224">
        <v>0.09</v>
      </c>
      <c r="R224" s="2">
        <v>81900</v>
      </c>
    </row>
    <row r="225" spans="1:18" x14ac:dyDescent="0.25">
      <c r="A225" t="s">
        <v>295</v>
      </c>
      <c r="B225" s="1">
        <v>45435</v>
      </c>
      <c r="C225" s="1" t="s">
        <v>78</v>
      </c>
      <c r="D225" t="s">
        <v>68</v>
      </c>
      <c r="E225" t="s">
        <v>276</v>
      </c>
      <c r="F225" t="s">
        <v>277</v>
      </c>
      <c r="G225" t="s">
        <v>278</v>
      </c>
      <c r="H225" t="s">
        <v>27</v>
      </c>
      <c r="I225" t="s">
        <v>60</v>
      </c>
      <c r="J225" t="s">
        <v>61</v>
      </c>
      <c r="K225" t="s">
        <v>26</v>
      </c>
      <c r="L225" t="s">
        <v>27</v>
      </c>
      <c r="M225" t="str">
        <f>INDEX( dim_segment!$A$2:$A$5,MATCH(L225,  dim_segment!$B$2:$B$5, 0))</f>
        <v>SEG002</v>
      </c>
      <c r="N225" t="s">
        <v>54</v>
      </c>
      <c r="O225" s="2">
        <v>5</v>
      </c>
      <c r="P225" s="2">
        <v>95000</v>
      </c>
      <c r="Q225">
        <v>0.01</v>
      </c>
      <c r="R225" s="2">
        <v>470200</v>
      </c>
    </row>
    <row r="226" spans="1:18" x14ac:dyDescent="0.25">
      <c r="A226" t="s">
        <v>296</v>
      </c>
      <c r="B226" s="1">
        <v>45420</v>
      </c>
      <c r="C226" s="1" t="s">
        <v>78</v>
      </c>
      <c r="D226" t="s">
        <v>68</v>
      </c>
      <c r="E226" t="s">
        <v>276</v>
      </c>
      <c r="F226" t="s">
        <v>277</v>
      </c>
      <c r="G226" t="s">
        <v>278</v>
      </c>
      <c r="H226" t="s">
        <v>27</v>
      </c>
      <c r="I226" t="s">
        <v>30</v>
      </c>
      <c r="J226" t="s">
        <v>31</v>
      </c>
      <c r="K226" t="s">
        <v>32</v>
      </c>
      <c r="L226" t="s">
        <v>65</v>
      </c>
      <c r="M226" t="str">
        <f>INDEX( dim_segment!$A$2:$A$5,MATCH(L226,  dim_segment!$B$2:$B$5, 0))</f>
        <v>SEG003</v>
      </c>
      <c r="N226" t="s">
        <v>28</v>
      </c>
      <c r="O226" s="2">
        <v>4</v>
      </c>
      <c r="P226" s="2">
        <v>60000</v>
      </c>
      <c r="Q226">
        <v>0.03</v>
      </c>
      <c r="R226" s="2">
        <v>232800</v>
      </c>
    </row>
    <row r="227" spans="1:18" x14ac:dyDescent="0.25">
      <c r="A227" t="s">
        <v>297</v>
      </c>
      <c r="B227" s="1">
        <v>45424</v>
      </c>
      <c r="C227" s="1" t="s">
        <v>78</v>
      </c>
      <c r="D227" t="s">
        <v>68</v>
      </c>
      <c r="E227" t="s">
        <v>276</v>
      </c>
      <c r="F227" t="s">
        <v>277</v>
      </c>
      <c r="G227" t="s">
        <v>278</v>
      </c>
      <c r="H227" t="s">
        <v>27</v>
      </c>
      <c r="I227" t="s">
        <v>30</v>
      </c>
      <c r="J227" t="s">
        <v>31</v>
      </c>
      <c r="K227" t="s">
        <v>32</v>
      </c>
      <c r="L227" t="s">
        <v>43</v>
      </c>
      <c r="M227" t="str">
        <f>INDEX( dim_segment!$A$2:$A$5,MATCH(L227,  dim_segment!$B$2:$B$5, 0))</f>
        <v>SEG004</v>
      </c>
      <c r="N227" t="s">
        <v>28</v>
      </c>
      <c r="O227" s="2">
        <v>1</v>
      </c>
      <c r="P227" s="2">
        <v>60000</v>
      </c>
      <c r="Q227">
        <v>0.03</v>
      </c>
      <c r="R227" s="2">
        <v>58200</v>
      </c>
    </row>
    <row r="228" spans="1:18" x14ac:dyDescent="0.25">
      <c r="A228" t="s">
        <v>298</v>
      </c>
      <c r="B228" s="1">
        <v>45440</v>
      </c>
      <c r="C228" s="1" t="s">
        <v>78</v>
      </c>
      <c r="D228" t="s">
        <v>68</v>
      </c>
      <c r="E228" t="s">
        <v>276</v>
      </c>
      <c r="F228" t="s">
        <v>277</v>
      </c>
      <c r="G228" t="s">
        <v>278</v>
      </c>
      <c r="H228" t="s">
        <v>27</v>
      </c>
      <c r="I228" t="s">
        <v>24</v>
      </c>
      <c r="J228" t="s">
        <v>25</v>
      </c>
      <c r="K228" t="s">
        <v>26</v>
      </c>
      <c r="L228" t="s">
        <v>65</v>
      </c>
      <c r="M228" t="str">
        <f>INDEX( dim_segment!$A$2:$A$5,MATCH(L228,  dim_segment!$B$2:$B$5, 0))</f>
        <v>SEG003</v>
      </c>
      <c r="N228" t="s">
        <v>54</v>
      </c>
      <c r="O228" s="2">
        <v>4</v>
      </c>
      <c r="P228" s="2">
        <v>75000</v>
      </c>
      <c r="Q228">
        <v>7.0000000000000007E-2</v>
      </c>
      <c r="R228" s="2">
        <v>279000</v>
      </c>
    </row>
    <row r="229" spans="1:18" x14ac:dyDescent="0.25">
      <c r="A229" t="s">
        <v>299</v>
      </c>
      <c r="B229" s="1">
        <v>45420</v>
      </c>
      <c r="C229" s="1" t="s">
        <v>78</v>
      </c>
      <c r="D229" t="s">
        <v>68</v>
      </c>
      <c r="E229" t="s">
        <v>276</v>
      </c>
      <c r="F229" t="s">
        <v>277</v>
      </c>
      <c r="G229" t="s">
        <v>278</v>
      </c>
      <c r="H229" t="s">
        <v>27</v>
      </c>
      <c r="I229" t="s">
        <v>60</v>
      </c>
      <c r="J229" t="s">
        <v>61</v>
      </c>
      <c r="K229" t="s">
        <v>26</v>
      </c>
      <c r="L229" t="s">
        <v>27</v>
      </c>
      <c r="M229" t="str">
        <f>INDEX( dim_segment!$A$2:$A$5,MATCH(L229,  dim_segment!$B$2:$B$5, 0))</f>
        <v>SEG002</v>
      </c>
      <c r="N229" t="s">
        <v>37</v>
      </c>
      <c r="O229" s="2">
        <v>1</v>
      </c>
      <c r="P229" s="2">
        <v>95000</v>
      </c>
      <c r="Q229">
        <v>0.08</v>
      </c>
      <c r="R229" s="2">
        <v>87400</v>
      </c>
    </row>
    <row r="230" spans="1:18" x14ac:dyDescent="0.25">
      <c r="A230" t="s">
        <v>300</v>
      </c>
      <c r="B230" s="1">
        <v>45417</v>
      </c>
      <c r="C230" s="1" t="s">
        <v>78</v>
      </c>
      <c r="D230" t="s">
        <v>68</v>
      </c>
      <c r="E230" t="s">
        <v>276</v>
      </c>
      <c r="F230" t="s">
        <v>277</v>
      </c>
      <c r="G230" t="s">
        <v>278</v>
      </c>
      <c r="H230" t="s">
        <v>27</v>
      </c>
      <c r="I230" t="s">
        <v>51</v>
      </c>
      <c r="J230" t="s">
        <v>52</v>
      </c>
      <c r="K230" t="s">
        <v>42</v>
      </c>
      <c r="L230" t="s">
        <v>43</v>
      </c>
      <c r="M230" t="str">
        <f>INDEX( dim_segment!$A$2:$A$5,MATCH(L230,  dim_segment!$B$2:$B$5, 0))</f>
        <v>SEG004</v>
      </c>
      <c r="N230" t="s">
        <v>54</v>
      </c>
      <c r="O230" s="2">
        <v>1</v>
      </c>
      <c r="P230" s="2">
        <v>150000</v>
      </c>
      <c r="Q230">
        <v>0.1</v>
      </c>
      <c r="R230" s="2">
        <v>135000</v>
      </c>
    </row>
    <row r="231" spans="1:18" x14ac:dyDescent="0.25">
      <c r="A231" t="s">
        <v>301</v>
      </c>
      <c r="B231" s="1">
        <v>45471</v>
      </c>
      <c r="C231" s="1" t="s">
        <v>84</v>
      </c>
      <c r="D231" t="s">
        <v>68</v>
      </c>
      <c r="E231" t="s">
        <v>276</v>
      </c>
      <c r="F231" t="s">
        <v>277</v>
      </c>
      <c r="G231" t="s">
        <v>278</v>
      </c>
      <c r="H231" t="s">
        <v>27</v>
      </c>
      <c r="I231" t="s">
        <v>47</v>
      </c>
      <c r="J231" t="s">
        <v>48</v>
      </c>
      <c r="K231" t="s">
        <v>49</v>
      </c>
      <c r="L231" t="s">
        <v>43</v>
      </c>
      <c r="M231" t="str">
        <f>INDEX( dim_segment!$A$2:$A$5,MATCH(L231,  dim_segment!$B$2:$B$5, 0))</f>
        <v>SEG004</v>
      </c>
      <c r="N231" t="s">
        <v>37</v>
      </c>
      <c r="O231" s="2">
        <v>5</v>
      </c>
      <c r="P231" s="2">
        <v>200000</v>
      </c>
      <c r="Q231">
        <v>0.05</v>
      </c>
      <c r="R231" s="2">
        <v>950000</v>
      </c>
    </row>
    <row r="232" spans="1:18" x14ac:dyDescent="0.25">
      <c r="A232" t="s">
        <v>302</v>
      </c>
      <c r="B232" s="1">
        <v>45466</v>
      </c>
      <c r="C232" s="1" t="s">
        <v>84</v>
      </c>
      <c r="D232" t="s">
        <v>68</v>
      </c>
      <c r="E232" t="s">
        <v>276</v>
      </c>
      <c r="F232" t="s">
        <v>277</v>
      </c>
      <c r="G232" t="s">
        <v>278</v>
      </c>
      <c r="H232" t="s">
        <v>27</v>
      </c>
      <c r="I232" t="s">
        <v>35</v>
      </c>
      <c r="J232" t="s">
        <v>36</v>
      </c>
      <c r="K232" t="s">
        <v>32</v>
      </c>
      <c r="L232" t="s">
        <v>27</v>
      </c>
      <c r="M232" t="str">
        <f>INDEX( dim_segment!$A$2:$A$5,MATCH(L232,  dim_segment!$B$2:$B$5, 0))</f>
        <v>SEG002</v>
      </c>
      <c r="N232" t="s">
        <v>28</v>
      </c>
      <c r="O232" s="2">
        <v>1</v>
      </c>
      <c r="P232" s="2">
        <v>45000</v>
      </c>
      <c r="Q232">
        <v>0.04</v>
      </c>
      <c r="R232" s="2">
        <v>43200</v>
      </c>
    </row>
    <row r="233" spans="1:18" x14ac:dyDescent="0.25">
      <c r="A233" t="s">
        <v>303</v>
      </c>
      <c r="B233" s="1">
        <v>45486</v>
      </c>
      <c r="C233" s="1" t="s">
        <v>92</v>
      </c>
      <c r="D233" t="s">
        <v>93</v>
      </c>
      <c r="E233" t="s">
        <v>276</v>
      </c>
      <c r="F233" t="s">
        <v>277</v>
      </c>
      <c r="G233" t="s">
        <v>278</v>
      </c>
      <c r="H233" t="s">
        <v>27</v>
      </c>
      <c r="I233" t="s">
        <v>40</v>
      </c>
      <c r="J233" t="s">
        <v>41</v>
      </c>
      <c r="K233" t="s">
        <v>42</v>
      </c>
      <c r="L233" t="s">
        <v>23</v>
      </c>
      <c r="M233" t="str">
        <f>INDEX( dim_segment!$A$2:$A$5,MATCH(L233,  dim_segment!$B$2:$B$5, 0))</f>
        <v>SEG001</v>
      </c>
      <c r="N233" t="s">
        <v>37</v>
      </c>
      <c r="O233" s="2">
        <v>1</v>
      </c>
      <c r="P233" s="2">
        <v>85000</v>
      </c>
      <c r="Q233">
        <v>7.0000000000000007E-2</v>
      </c>
      <c r="R233" s="2">
        <v>79000</v>
      </c>
    </row>
    <row r="234" spans="1:18" x14ac:dyDescent="0.25">
      <c r="A234" t="s">
        <v>304</v>
      </c>
      <c r="B234" s="1">
        <v>45476</v>
      </c>
      <c r="C234" s="1" t="s">
        <v>92</v>
      </c>
      <c r="D234" t="s">
        <v>93</v>
      </c>
      <c r="E234" t="s">
        <v>276</v>
      </c>
      <c r="F234" t="s">
        <v>277</v>
      </c>
      <c r="G234" t="s">
        <v>278</v>
      </c>
      <c r="H234" t="s">
        <v>27</v>
      </c>
      <c r="I234" t="s">
        <v>75</v>
      </c>
      <c r="J234" t="s">
        <v>76</v>
      </c>
      <c r="K234" t="s">
        <v>49</v>
      </c>
      <c r="L234" t="s">
        <v>27</v>
      </c>
      <c r="M234" t="str">
        <f>INDEX( dim_segment!$A$2:$A$5,MATCH(L234,  dim_segment!$B$2:$B$5, 0))</f>
        <v>SEG002</v>
      </c>
      <c r="N234" t="s">
        <v>54</v>
      </c>
      <c r="O234" s="2">
        <v>3</v>
      </c>
      <c r="P234" s="2">
        <v>120000</v>
      </c>
      <c r="Q234">
        <v>0.02</v>
      </c>
      <c r="R234" s="2">
        <v>352800</v>
      </c>
    </row>
    <row r="235" spans="1:18" x14ac:dyDescent="0.25">
      <c r="A235" t="s">
        <v>305</v>
      </c>
      <c r="B235" s="1">
        <v>45493</v>
      </c>
      <c r="C235" s="1" t="s">
        <v>92</v>
      </c>
      <c r="D235" t="s">
        <v>93</v>
      </c>
      <c r="E235" t="s">
        <v>276</v>
      </c>
      <c r="F235" t="s">
        <v>277</v>
      </c>
      <c r="G235" t="s">
        <v>278</v>
      </c>
      <c r="H235" t="s">
        <v>27</v>
      </c>
      <c r="I235" t="s">
        <v>75</v>
      </c>
      <c r="J235" t="s">
        <v>76</v>
      </c>
      <c r="K235" t="s">
        <v>49</v>
      </c>
      <c r="L235" t="s">
        <v>43</v>
      </c>
      <c r="M235" t="str">
        <f>INDEX( dim_segment!$A$2:$A$5,MATCH(L235,  dim_segment!$B$2:$B$5, 0))</f>
        <v>SEG004</v>
      </c>
      <c r="N235" t="s">
        <v>54</v>
      </c>
      <c r="O235" s="2">
        <v>1</v>
      </c>
      <c r="P235" s="2">
        <v>120000</v>
      </c>
      <c r="Q235">
        <v>0.06</v>
      </c>
      <c r="R235" s="2">
        <v>112800</v>
      </c>
    </row>
    <row r="236" spans="1:18" x14ac:dyDescent="0.25">
      <c r="A236" t="s">
        <v>306</v>
      </c>
      <c r="B236" s="1">
        <v>45501</v>
      </c>
      <c r="C236" s="1" t="s">
        <v>92</v>
      </c>
      <c r="D236" t="s">
        <v>93</v>
      </c>
      <c r="E236" t="s">
        <v>276</v>
      </c>
      <c r="F236" t="s">
        <v>277</v>
      </c>
      <c r="G236" t="s">
        <v>278</v>
      </c>
      <c r="H236" t="s">
        <v>27</v>
      </c>
      <c r="I236" t="s">
        <v>75</v>
      </c>
      <c r="J236" t="s">
        <v>76</v>
      </c>
      <c r="K236" t="s">
        <v>49</v>
      </c>
      <c r="L236" t="s">
        <v>43</v>
      </c>
      <c r="M236" t="str">
        <f>INDEX( dim_segment!$A$2:$A$5,MATCH(L236,  dim_segment!$B$2:$B$5, 0))</f>
        <v>SEG004</v>
      </c>
      <c r="N236" t="s">
        <v>28</v>
      </c>
      <c r="O236" s="2">
        <v>5</v>
      </c>
      <c r="P236" s="2">
        <v>120000</v>
      </c>
      <c r="Q236">
        <v>0.01</v>
      </c>
      <c r="R236" s="2">
        <v>594000</v>
      </c>
    </row>
    <row r="237" spans="1:18" x14ac:dyDescent="0.25">
      <c r="A237" t="s">
        <v>307</v>
      </c>
      <c r="B237" s="1">
        <v>45485</v>
      </c>
      <c r="C237" s="1" t="s">
        <v>92</v>
      </c>
      <c r="D237" t="s">
        <v>93</v>
      </c>
      <c r="E237" t="s">
        <v>276</v>
      </c>
      <c r="F237" t="s">
        <v>277</v>
      </c>
      <c r="G237" t="s">
        <v>278</v>
      </c>
      <c r="H237" t="s">
        <v>27</v>
      </c>
      <c r="I237" t="s">
        <v>30</v>
      </c>
      <c r="J237" t="s">
        <v>31</v>
      </c>
      <c r="K237" t="s">
        <v>32</v>
      </c>
      <c r="L237" t="s">
        <v>23</v>
      </c>
      <c r="M237" t="str">
        <f>INDEX( dim_segment!$A$2:$A$5,MATCH(L237,  dim_segment!$B$2:$B$5, 0))</f>
        <v>SEG001</v>
      </c>
      <c r="N237" t="s">
        <v>37</v>
      </c>
      <c r="O237" s="2">
        <v>2</v>
      </c>
      <c r="P237" s="2">
        <v>60000</v>
      </c>
      <c r="Q237">
        <v>0.1</v>
      </c>
      <c r="R237" s="2">
        <v>108000</v>
      </c>
    </row>
    <row r="238" spans="1:18" x14ac:dyDescent="0.25">
      <c r="A238" t="s">
        <v>308</v>
      </c>
      <c r="B238" s="1">
        <v>45500</v>
      </c>
      <c r="C238" s="1" t="s">
        <v>92</v>
      </c>
      <c r="D238" t="s">
        <v>93</v>
      </c>
      <c r="E238" t="s">
        <v>276</v>
      </c>
      <c r="F238" t="s">
        <v>277</v>
      </c>
      <c r="G238" t="s">
        <v>278</v>
      </c>
      <c r="H238" t="s">
        <v>27</v>
      </c>
      <c r="I238" t="s">
        <v>75</v>
      </c>
      <c r="J238" t="s">
        <v>76</v>
      </c>
      <c r="K238" t="s">
        <v>49</v>
      </c>
      <c r="L238" t="s">
        <v>43</v>
      </c>
      <c r="M238" t="str">
        <f>INDEX( dim_segment!$A$2:$A$5,MATCH(L238,  dim_segment!$B$2:$B$5, 0))</f>
        <v>SEG004</v>
      </c>
      <c r="N238" t="s">
        <v>28</v>
      </c>
      <c r="O238" s="2">
        <v>4</v>
      </c>
      <c r="P238" s="2">
        <v>120000</v>
      </c>
      <c r="Q238">
        <v>0.01</v>
      </c>
      <c r="R238" s="2">
        <v>475200</v>
      </c>
    </row>
    <row r="239" spans="1:18" x14ac:dyDescent="0.25">
      <c r="A239" t="s">
        <v>309</v>
      </c>
      <c r="B239" s="1">
        <v>45498</v>
      </c>
      <c r="C239" s="1" t="s">
        <v>92</v>
      </c>
      <c r="D239" t="s">
        <v>93</v>
      </c>
      <c r="E239" t="s">
        <v>276</v>
      </c>
      <c r="F239" t="s">
        <v>277</v>
      </c>
      <c r="G239" t="s">
        <v>278</v>
      </c>
      <c r="H239" t="s">
        <v>27</v>
      </c>
      <c r="I239" t="s">
        <v>47</v>
      </c>
      <c r="J239" t="s">
        <v>48</v>
      </c>
      <c r="K239" t="s">
        <v>49</v>
      </c>
      <c r="L239" t="s">
        <v>43</v>
      </c>
      <c r="M239" t="str">
        <f>INDEX( dim_segment!$A$2:$A$5,MATCH(L239,  dim_segment!$B$2:$B$5, 0))</f>
        <v>SEG004</v>
      </c>
      <c r="N239" t="s">
        <v>54</v>
      </c>
      <c r="O239" s="2">
        <v>5</v>
      </c>
      <c r="P239" s="2">
        <v>200000</v>
      </c>
      <c r="Q239">
        <v>7.0000000000000007E-2</v>
      </c>
      <c r="R239" s="2">
        <v>930000</v>
      </c>
    </row>
    <row r="240" spans="1:18" x14ac:dyDescent="0.25">
      <c r="A240" t="s">
        <v>310</v>
      </c>
      <c r="B240" s="1">
        <v>45507</v>
      </c>
      <c r="C240" s="1" t="s">
        <v>102</v>
      </c>
      <c r="D240" t="s">
        <v>93</v>
      </c>
      <c r="E240" t="s">
        <v>276</v>
      </c>
      <c r="F240" t="s">
        <v>277</v>
      </c>
      <c r="G240" t="s">
        <v>278</v>
      </c>
      <c r="H240" t="s">
        <v>27</v>
      </c>
      <c r="I240" t="s">
        <v>51</v>
      </c>
      <c r="J240" t="s">
        <v>52</v>
      </c>
      <c r="K240" t="s">
        <v>42</v>
      </c>
      <c r="L240" t="s">
        <v>27</v>
      </c>
      <c r="M240" t="str">
        <f>INDEX( dim_segment!$A$2:$A$5,MATCH(L240,  dim_segment!$B$2:$B$5, 0))</f>
        <v>SEG002</v>
      </c>
      <c r="N240" t="s">
        <v>37</v>
      </c>
      <c r="O240" s="2">
        <v>2</v>
      </c>
      <c r="P240" s="2">
        <v>150000</v>
      </c>
      <c r="Q240">
        <v>7.0000000000000007E-2</v>
      </c>
      <c r="R240" s="2">
        <v>279000</v>
      </c>
    </row>
    <row r="241" spans="1:18" x14ac:dyDescent="0.25">
      <c r="A241" t="s">
        <v>311</v>
      </c>
      <c r="B241" s="1">
        <v>45523</v>
      </c>
      <c r="C241" s="1" t="s">
        <v>102</v>
      </c>
      <c r="D241" t="s">
        <v>93</v>
      </c>
      <c r="E241" t="s">
        <v>276</v>
      </c>
      <c r="F241" t="s">
        <v>277</v>
      </c>
      <c r="G241" t="s">
        <v>278</v>
      </c>
      <c r="H241" t="s">
        <v>27</v>
      </c>
      <c r="I241" t="s">
        <v>60</v>
      </c>
      <c r="J241" t="s">
        <v>61</v>
      </c>
      <c r="K241" t="s">
        <v>26</v>
      </c>
      <c r="L241" t="s">
        <v>43</v>
      </c>
      <c r="M241" t="str">
        <f>INDEX( dim_segment!$A$2:$A$5,MATCH(L241,  dim_segment!$B$2:$B$5, 0))</f>
        <v>SEG004</v>
      </c>
      <c r="N241" t="s">
        <v>33</v>
      </c>
      <c r="O241" s="2">
        <v>5</v>
      </c>
      <c r="P241" s="2">
        <v>95000</v>
      </c>
      <c r="Q241">
        <v>0.03</v>
      </c>
      <c r="R241" s="2">
        <v>460800</v>
      </c>
    </row>
    <row r="242" spans="1:18" x14ac:dyDescent="0.25">
      <c r="A242" t="s">
        <v>312</v>
      </c>
      <c r="B242" s="1">
        <v>45515</v>
      </c>
      <c r="C242" s="1" t="s">
        <v>102</v>
      </c>
      <c r="D242" t="s">
        <v>93</v>
      </c>
      <c r="E242" t="s">
        <v>276</v>
      </c>
      <c r="F242" t="s">
        <v>277</v>
      </c>
      <c r="G242" t="s">
        <v>278</v>
      </c>
      <c r="H242" t="s">
        <v>27</v>
      </c>
      <c r="I242" t="s">
        <v>30</v>
      </c>
      <c r="J242" t="s">
        <v>31</v>
      </c>
      <c r="K242" t="s">
        <v>32</v>
      </c>
      <c r="L242" t="s">
        <v>65</v>
      </c>
      <c r="M242" t="str">
        <f>INDEX( dim_segment!$A$2:$A$5,MATCH(L242,  dim_segment!$B$2:$B$5, 0))</f>
        <v>SEG003</v>
      </c>
      <c r="N242" t="s">
        <v>33</v>
      </c>
      <c r="O242" s="2">
        <v>2</v>
      </c>
      <c r="P242" s="2">
        <v>60000</v>
      </c>
      <c r="Q242">
        <v>0.06</v>
      </c>
      <c r="R242" s="2">
        <v>112800</v>
      </c>
    </row>
    <row r="243" spans="1:18" x14ac:dyDescent="0.25">
      <c r="A243" t="s">
        <v>313</v>
      </c>
      <c r="B243" s="1">
        <v>45506</v>
      </c>
      <c r="C243" s="1" t="s">
        <v>102</v>
      </c>
      <c r="D243" t="s">
        <v>93</v>
      </c>
      <c r="E243" t="s">
        <v>276</v>
      </c>
      <c r="F243" t="s">
        <v>277</v>
      </c>
      <c r="G243" t="s">
        <v>278</v>
      </c>
      <c r="H243" t="s">
        <v>27</v>
      </c>
      <c r="I243" t="s">
        <v>40</v>
      </c>
      <c r="J243" t="s">
        <v>41</v>
      </c>
      <c r="K243" t="s">
        <v>42</v>
      </c>
      <c r="L243" t="s">
        <v>65</v>
      </c>
      <c r="M243" t="str">
        <f>INDEX( dim_segment!$A$2:$A$5,MATCH(L243,  dim_segment!$B$2:$B$5, 0))</f>
        <v>SEG003</v>
      </c>
      <c r="N243" t="s">
        <v>33</v>
      </c>
      <c r="O243" s="2">
        <v>1</v>
      </c>
      <c r="P243" s="2">
        <v>85000</v>
      </c>
      <c r="Q243">
        <v>0.11</v>
      </c>
      <c r="R243" s="2">
        <v>75600</v>
      </c>
    </row>
    <row r="244" spans="1:18" x14ac:dyDescent="0.25">
      <c r="A244" t="s">
        <v>314</v>
      </c>
      <c r="B244" s="1">
        <v>45528</v>
      </c>
      <c r="C244" s="1" t="s">
        <v>102</v>
      </c>
      <c r="D244" t="s">
        <v>93</v>
      </c>
      <c r="E244" t="s">
        <v>276</v>
      </c>
      <c r="F244" t="s">
        <v>277</v>
      </c>
      <c r="G244" t="s">
        <v>278</v>
      </c>
      <c r="H244" t="s">
        <v>27</v>
      </c>
      <c r="I244" t="s">
        <v>75</v>
      </c>
      <c r="J244" t="s">
        <v>76</v>
      </c>
      <c r="K244" t="s">
        <v>49</v>
      </c>
      <c r="L244" t="s">
        <v>23</v>
      </c>
      <c r="M244" t="str">
        <f>INDEX( dim_segment!$A$2:$A$5,MATCH(L244,  dim_segment!$B$2:$B$5, 0))</f>
        <v>SEG001</v>
      </c>
      <c r="N244" t="s">
        <v>28</v>
      </c>
      <c r="O244" s="2">
        <v>2</v>
      </c>
      <c r="P244" s="2">
        <v>120000</v>
      </c>
      <c r="Q244">
        <v>0.04</v>
      </c>
      <c r="R244" s="2">
        <v>230400</v>
      </c>
    </row>
    <row r="245" spans="1:18" x14ac:dyDescent="0.25">
      <c r="A245" t="s">
        <v>315</v>
      </c>
      <c r="B245" s="1">
        <v>45523</v>
      </c>
      <c r="C245" s="1" t="s">
        <v>102</v>
      </c>
      <c r="D245" t="s">
        <v>93</v>
      </c>
      <c r="E245" t="s">
        <v>276</v>
      </c>
      <c r="F245" t="s">
        <v>277</v>
      </c>
      <c r="G245" t="s">
        <v>278</v>
      </c>
      <c r="H245" t="s">
        <v>27</v>
      </c>
      <c r="I245" t="s">
        <v>51</v>
      </c>
      <c r="J245" t="s">
        <v>52</v>
      </c>
      <c r="K245" t="s">
        <v>42</v>
      </c>
      <c r="L245" t="s">
        <v>65</v>
      </c>
      <c r="M245" t="str">
        <f>INDEX( dim_segment!$A$2:$A$5,MATCH(L245,  dim_segment!$B$2:$B$5, 0))</f>
        <v>SEG003</v>
      </c>
      <c r="N245" t="s">
        <v>28</v>
      </c>
      <c r="O245" s="2">
        <v>1</v>
      </c>
      <c r="P245" s="2">
        <v>150000</v>
      </c>
      <c r="Q245">
        <v>0.04</v>
      </c>
      <c r="R245" s="2">
        <v>144000</v>
      </c>
    </row>
    <row r="246" spans="1:18" x14ac:dyDescent="0.25">
      <c r="A246" t="s">
        <v>316</v>
      </c>
      <c r="B246" s="1">
        <v>45510</v>
      </c>
      <c r="C246" s="1" t="s">
        <v>102</v>
      </c>
      <c r="D246" t="s">
        <v>93</v>
      </c>
      <c r="E246" t="s">
        <v>276</v>
      </c>
      <c r="F246" t="s">
        <v>277</v>
      </c>
      <c r="G246" t="s">
        <v>278</v>
      </c>
      <c r="H246" t="s">
        <v>27</v>
      </c>
      <c r="I246" t="s">
        <v>30</v>
      </c>
      <c r="J246" t="s">
        <v>31</v>
      </c>
      <c r="K246" t="s">
        <v>32</v>
      </c>
      <c r="L246" t="s">
        <v>27</v>
      </c>
      <c r="M246" t="str">
        <f>INDEX( dim_segment!$A$2:$A$5,MATCH(L246,  dim_segment!$B$2:$B$5, 0))</f>
        <v>SEG002</v>
      </c>
      <c r="N246" t="s">
        <v>54</v>
      </c>
      <c r="O246" s="2">
        <v>2</v>
      </c>
      <c r="P246" s="2">
        <v>60000</v>
      </c>
      <c r="Q246">
        <v>0.09</v>
      </c>
      <c r="R246" s="2">
        <v>109200</v>
      </c>
    </row>
    <row r="247" spans="1:18" x14ac:dyDescent="0.25">
      <c r="A247" t="s">
        <v>317</v>
      </c>
      <c r="B247" s="1">
        <v>45549</v>
      </c>
      <c r="C247" s="1" t="s">
        <v>106</v>
      </c>
      <c r="D247" t="s">
        <v>93</v>
      </c>
      <c r="E247" t="s">
        <v>276</v>
      </c>
      <c r="F247" t="s">
        <v>277</v>
      </c>
      <c r="G247" t="s">
        <v>278</v>
      </c>
      <c r="H247" t="s">
        <v>27</v>
      </c>
      <c r="I247" t="s">
        <v>51</v>
      </c>
      <c r="J247" t="s">
        <v>52</v>
      </c>
      <c r="K247" t="s">
        <v>42</v>
      </c>
      <c r="L247" t="s">
        <v>43</v>
      </c>
      <c r="M247" t="str">
        <f>INDEX( dim_segment!$A$2:$A$5,MATCH(L247,  dim_segment!$B$2:$B$5, 0))</f>
        <v>SEG004</v>
      </c>
      <c r="N247" t="s">
        <v>37</v>
      </c>
      <c r="O247" s="2">
        <v>1</v>
      </c>
      <c r="P247" s="2">
        <v>150000</v>
      </c>
      <c r="Q247">
        <v>0.04</v>
      </c>
      <c r="R247" s="2">
        <v>144000</v>
      </c>
    </row>
    <row r="248" spans="1:18" x14ac:dyDescent="0.25">
      <c r="A248" t="s">
        <v>318</v>
      </c>
      <c r="B248" s="1">
        <v>45560</v>
      </c>
      <c r="C248" s="1" t="s">
        <v>106</v>
      </c>
      <c r="D248" t="s">
        <v>93</v>
      </c>
      <c r="E248" t="s">
        <v>276</v>
      </c>
      <c r="F248" t="s">
        <v>277</v>
      </c>
      <c r="G248" t="s">
        <v>278</v>
      </c>
      <c r="H248" t="s">
        <v>27</v>
      </c>
      <c r="I248" t="s">
        <v>47</v>
      </c>
      <c r="J248" t="s">
        <v>48</v>
      </c>
      <c r="K248" t="s">
        <v>49</v>
      </c>
      <c r="L248" t="s">
        <v>43</v>
      </c>
      <c r="M248" t="str">
        <f>INDEX( dim_segment!$A$2:$A$5,MATCH(L248,  dim_segment!$B$2:$B$5, 0))</f>
        <v>SEG004</v>
      </c>
      <c r="N248" t="s">
        <v>28</v>
      </c>
      <c r="O248" s="2">
        <v>2</v>
      </c>
      <c r="P248" s="2">
        <v>200000</v>
      </c>
      <c r="Q248">
        <v>0.06</v>
      </c>
      <c r="R248" s="2">
        <v>376000</v>
      </c>
    </row>
    <row r="249" spans="1:18" x14ac:dyDescent="0.25">
      <c r="A249" t="s">
        <v>319</v>
      </c>
      <c r="B249" s="1">
        <v>45539</v>
      </c>
      <c r="C249" s="1" t="s">
        <v>106</v>
      </c>
      <c r="D249" t="s">
        <v>93</v>
      </c>
      <c r="E249" t="s">
        <v>276</v>
      </c>
      <c r="F249" t="s">
        <v>277</v>
      </c>
      <c r="G249" t="s">
        <v>278</v>
      </c>
      <c r="H249" t="s">
        <v>27</v>
      </c>
      <c r="I249" t="s">
        <v>75</v>
      </c>
      <c r="J249" t="s">
        <v>76</v>
      </c>
      <c r="K249" t="s">
        <v>49</v>
      </c>
      <c r="L249" t="s">
        <v>65</v>
      </c>
      <c r="M249" t="str">
        <f>INDEX( dim_segment!$A$2:$A$5,MATCH(L249,  dim_segment!$B$2:$B$5, 0))</f>
        <v>SEG003</v>
      </c>
      <c r="N249" t="s">
        <v>54</v>
      </c>
      <c r="O249" s="2">
        <v>2</v>
      </c>
      <c r="P249" s="2">
        <v>120000</v>
      </c>
      <c r="Q249">
        <v>0.11</v>
      </c>
      <c r="R249" s="2">
        <v>213600</v>
      </c>
    </row>
    <row r="250" spans="1:18" x14ac:dyDescent="0.25">
      <c r="A250" t="s">
        <v>320</v>
      </c>
      <c r="B250" s="1">
        <v>45557</v>
      </c>
      <c r="C250" s="1" t="s">
        <v>106</v>
      </c>
      <c r="D250" t="s">
        <v>93</v>
      </c>
      <c r="E250" t="s">
        <v>276</v>
      </c>
      <c r="F250" t="s">
        <v>277</v>
      </c>
      <c r="G250" t="s">
        <v>278</v>
      </c>
      <c r="H250" t="s">
        <v>27</v>
      </c>
      <c r="I250" t="s">
        <v>51</v>
      </c>
      <c r="J250" t="s">
        <v>52</v>
      </c>
      <c r="K250" t="s">
        <v>42</v>
      </c>
      <c r="L250" t="s">
        <v>23</v>
      </c>
      <c r="M250" t="str">
        <f>INDEX( dim_segment!$A$2:$A$5,MATCH(L250,  dim_segment!$B$2:$B$5, 0))</f>
        <v>SEG001</v>
      </c>
      <c r="N250" t="s">
        <v>33</v>
      </c>
      <c r="O250" s="2">
        <v>1</v>
      </c>
      <c r="P250" s="2">
        <v>150000</v>
      </c>
      <c r="Q250">
        <v>0.01</v>
      </c>
      <c r="R250" s="2">
        <v>148500</v>
      </c>
    </row>
    <row r="251" spans="1:18" x14ac:dyDescent="0.25">
      <c r="A251" t="s">
        <v>321</v>
      </c>
      <c r="B251" s="1">
        <v>45538</v>
      </c>
      <c r="C251" s="1" t="s">
        <v>106</v>
      </c>
      <c r="D251" t="s">
        <v>93</v>
      </c>
      <c r="E251" t="s">
        <v>276</v>
      </c>
      <c r="F251" t="s">
        <v>277</v>
      </c>
      <c r="G251" t="s">
        <v>278</v>
      </c>
      <c r="H251" t="s">
        <v>27</v>
      </c>
      <c r="I251" t="s">
        <v>30</v>
      </c>
      <c r="J251" t="s">
        <v>31</v>
      </c>
      <c r="K251" t="s">
        <v>32</v>
      </c>
      <c r="L251" t="s">
        <v>27</v>
      </c>
      <c r="M251" t="str">
        <f>INDEX( dim_segment!$A$2:$A$5,MATCH(L251,  dim_segment!$B$2:$B$5, 0))</f>
        <v>SEG002</v>
      </c>
      <c r="N251" t="s">
        <v>37</v>
      </c>
      <c r="O251" s="2">
        <v>2</v>
      </c>
      <c r="P251" s="2">
        <v>60000</v>
      </c>
      <c r="Q251">
        <v>0.06</v>
      </c>
      <c r="R251" s="2">
        <v>112800</v>
      </c>
    </row>
    <row r="252" spans="1:18" x14ac:dyDescent="0.25">
      <c r="A252" t="s">
        <v>322</v>
      </c>
      <c r="B252" s="1">
        <v>45544</v>
      </c>
      <c r="C252" s="1" t="s">
        <v>106</v>
      </c>
      <c r="D252" t="s">
        <v>93</v>
      </c>
      <c r="E252" t="s">
        <v>276</v>
      </c>
      <c r="F252" t="s">
        <v>277</v>
      </c>
      <c r="G252" t="s">
        <v>278</v>
      </c>
      <c r="H252" t="s">
        <v>27</v>
      </c>
      <c r="I252" t="s">
        <v>60</v>
      </c>
      <c r="J252" t="s">
        <v>61</v>
      </c>
      <c r="K252" t="s">
        <v>26</v>
      </c>
      <c r="L252" t="s">
        <v>43</v>
      </c>
      <c r="M252" t="str">
        <f>INDEX( dim_segment!$A$2:$A$5,MATCH(L252,  dim_segment!$B$2:$B$5, 0))</f>
        <v>SEG004</v>
      </c>
      <c r="N252" t="s">
        <v>28</v>
      </c>
      <c r="O252" s="2">
        <v>5</v>
      </c>
      <c r="P252" s="2">
        <v>95000</v>
      </c>
      <c r="Q252">
        <v>0.05</v>
      </c>
      <c r="R252" s="2">
        <v>451200</v>
      </c>
    </row>
    <row r="253" spans="1:18" x14ac:dyDescent="0.25">
      <c r="A253" t="s">
        <v>323</v>
      </c>
      <c r="B253" s="1">
        <v>45560</v>
      </c>
      <c r="C253" s="1" t="s">
        <v>106</v>
      </c>
      <c r="D253" t="s">
        <v>93</v>
      </c>
      <c r="E253" t="s">
        <v>276</v>
      </c>
      <c r="F253" t="s">
        <v>277</v>
      </c>
      <c r="G253" t="s">
        <v>278</v>
      </c>
      <c r="H253" t="s">
        <v>27</v>
      </c>
      <c r="I253" t="s">
        <v>60</v>
      </c>
      <c r="J253" t="s">
        <v>61</v>
      </c>
      <c r="K253" t="s">
        <v>26</v>
      </c>
      <c r="L253" t="s">
        <v>65</v>
      </c>
      <c r="M253" t="str">
        <f>INDEX( dim_segment!$A$2:$A$5,MATCH(L253,  dim_segment!$B$2:$B$5, 0))</f>
        <v>SEG003</v>
      </c>
      <c r="N253" t="s">
        <v>37</v>
      </c>
      <c r="O253" s="2">
        <v>3</v>
      </c>
      <c r="P253" s="2">
        <v>95000</v>
      </c>
      <c r="Q253">
        <v>0.05</v>
      </c>
      <c r="R253" s="2">
        <v>270800</v>
      </c>
    </row>
    <row r="254" spans="1:18" x14ac:dyDescent="0.25">
      <c r="A254" t="s">
        <v>324</v>
      </c>
      <c r="B254" s="1">
        <v>45573</v>
      </c>
      <c r="C254" s="1" t="s">
        <v>115</v>
      </c>
      <c r="D254" t="s">
        <v>116</v>
      </c>
      <c r="E254" t="s">
        <v>276</v>
      </c>
      <c r="F254" t="s">
        <v>277</v>
      </c>
      <c r="G254" t="s">
        <v>278</v>
      </c>
      <c r="H254" t="s">
        <v>27</v>
      </c>
      <c r="I254" t="s">
        <v>60</v>
      </c>
      <c r="J254" t="s">
        <v>61</v>
      </c>
      <c r="K254" t="s">
        <v>26</v>
      </c>
      <c r="L254" t="s">
        <v>43</v>
      </c>
      <c r="M254" t="str">
        <f>INDEX( dim_segment!$A$2:$A$5,MATCH(L254,  dim_segment!$B$2:$B$5, 0))</f>
        <v>SEG004</v>
      </c>
      <c r="N254" t="s">
        <v>28</v>
      </c>
      <c r="O254" s="2">
        <v>5</v>
      </c>
      <c r="P254" s="2">
        <v>95000</v>
      </c>
      <c r="Q254">
        <v>7.0000000000000007E-2</v>
      </c>
      <c r="R254" s="2">
        <v>441700</v>
      </c>
    </row>
    <row r="255" spans="1:18" x14ac:dyDescent="0.25">
      <c r="A255" t="s">
        <v>325</v>
      </c>
      <c r="B255" s="1">
        <v>45583</v>
      </c>
      <c r="C255" s="1" t="s">
        <v>115</v>
      </c>
      <c r="D255" t="s">
        <v>116</v>
      </c>
      <c r="E255" t="s">
        <v>276</v>
      </c>
      <c r="F255" t="s">
        <v>277</v>
      </c>
      <c r="G255" t="s">
        <v>278</v>
      </c>
      <c r="H255" t="s">
        <v>27</v>
      </c>
      <c r="I255" t="s">
        <v>47</v>
      </c>
      <c r="J255" t="s">
        <v>48</v>
      </c>
      <c r="K255" t="s">
        <v>49</v>
      </c>
      <c r="L255" t="s">
        <v>43</v>
      </c>
      <c r="M255" t="str">
        <f>INDEX( dim_segment!$A$2:$A$5,MATCH(L255,  dim_segment!$B$2:$B$5, 0))</f>
        <v>SEG004</v>
      </c>
      <c r="N255" t="s">
        <v>37</v>
      </c>
      <c r="O255" s="2">
        <v>2</v>
      </c>
      <c r="P255" s="2">
        <v>200000</v>
      </c>
      <c r="Q255">
        <v>7.0000000000000007E-2</v>
      </c>
      <c r="R255" s="2">
        <v>372000</v>
      </c>
    </row>
    <row r="256" spans="1:18" x14ac:dyDescent="0.25">
      <c r="A256" t="s">
        <v>326</v>
      </c>
      <c r="B256" s="1">
        <v>45593</v>
      </c>
      <c r="C256" s="1" t="s">
        <v>115</v>
      </c>
      <c r="D256" t="s">
        <v>116</v>
      </c>
      <c r="E256" t="s">
        <v>276</v>
      </c>
      <c r="F256" t="s">
        <v>277</v>
      </c>
      <c r="G256" t="s">
        <v>278</v>
      </c>
      <c r="H256" t="s">
        <v>27</v>
      </c>
      <c r="I256" t="s">
        <v>60</v>
      </c>
      <c r="J256" t="s">
        <v>61</v>
      </c>
      <c r="K256" t="s">
        <v>26</v>
      </c>
      <c r="L256" t="s">
        <v>65</v>
      </c>
      <c r="M256" t="str">
        <f>INDEX( dim_segment!$A$2:$A$5,MATCH(L256,  dim_segment!$B$2:$B$5, 0))</f>
        <v>SEG003</v>
      </c>
      <c r="N256" t="s">
        <v>37</v>
      </c>
      <c r="O256" s="2">
        <v>5</v>
      </c>
      <c r="P256" s="2">
        <v>95000</v>
      </c>
      <c r="Q256">
        <v>0.04</v>
      </c>
      <c r="R256" s="2">
        <v>456000</v>
      </c>
    </row>
    <row r="257" spans="1:18" x14ac:dyDescent="0.25">
      <c r="A257" t="s">
        <v>327</v>
      </c>
      <c r="B257" s="1">
        <v>45569</v>
      </c>
      <c r="C257" s="1" t="s">
        <v>115</v>
      </c>
      <c r="D257" t="s">
        <v>116</v>
      </c>
      <c r="E257" t="s">
        <v>276</v>
      </c>
      <c r="F257" t="s">
        <v>277</v>
      </c>
      <c r="G257" t="s">
        <v>278</v>
      </c>
      <c r="H257" t="s">
        <v>27</v>
      </c>
      <c r="I257" t="s">
        <v>35</v>
      </c>
      <c r="J257" t="s">
        <v>36</v>
      </c>
      <c r="K257" t="s">
        <v>32</v>
      </c>
      <c r="L257" t="s">
        <v>65</v>
      </c>
      <c r="M257" t="str">
        <f>INDEX( dim_segment!$A$2:$A$5,MATCH(L257,  dim_segment!$B$2:$B$5, 0))</f>
        <v>SEG003</v>
      </c>
      <c r="N257" t="s">
        <v>54</v>
      </c>
      <c r="O257" s="2">
        <v>3</v>
      </c>
      <c r="P257" s="2">
        <v>45000</v>
      </c>
      <c r="Q257">
        <v>0.02</v>
      </c>
      <c r="R257" s="2">
        <v>132300</v>
      </c>
    </row>
    <row r="258" spans="1:18" x14ac:dyDescent="0.25">
      <c r="A258" t="s">
        <v>328</v>
      </c>
      <c r="B258" s="1">
        <v>45572</v>
      </c>
      <c r="C258" s="1" t="s">
        <v>115</v>
      </c>
      <c r="D258" t="s">
        <v>116</v>
      </c>
      <c r="E258" t="s">
        <v>276</v>
      </c>
      <c r="F258" t="s">
        <v>277</v>
      </c>
      <c r="G258" t="s">
        <v>278</v>
      </c>
      <c r="H258" t="s">
        <v>27</v>
      </c>
      <c r="I258" t="s">
        <v>75</v>
      </c>
      <c r="J258" t="s">
        <v>76</v>
      </c>
      <c r="K258" t="s">
        <v>49</v>
      </c>
      <c r="L258" t="s">
        <v>43</v>
      </c>
      <c r="M258" t="str">
        <f>INDEX( dim_segment!$A$2:$A$5,MATCH(L258,  dim_segment!$B$2:$B$5, 0))</f>
        <v>SEG004</v>
      </c>
      <c r="N258" t="s">
        <v>54</v>
      </c>
      <c r="O258" s="2">
        <v>4</v>
      </c>
      <c r="P258" s="2">
        <v>120000</v>
      </c>
      <c r="Q258">
        <v>0.08</v>
      </c>
      <c r="R258" s="2">
        <v>441600</v>
      </c>
    </row>
    <row r="259" spans="1:18" x14ac:dyDescent="0.25">
      <c r="A259" t="s">
        <v>329</v>
      </c>
      <c r="B259" s="1">
        <v>45580</v>
      </c>
      <c r="C259" s="1" t="s">
        <v>115</v>
      </c>
      <c r="D259" t="s">
        <v>116</v>
      </c>
      <c r="E259" t="s">
        <v>276</v>
      </c>
      <c r="F259" t="s">
        <v>277</v>
      </c>
      <c r="G259" t="s">
        <v>278</v>
      </c>
      <c r="H259" t="s">
        <v>27</v>
      </c>
      <c r="I259" t="s">
        <v>24</v>
      </c>
      <c r="J259" t="s">
        <v>25</v>
      </c>
      <c r="K259" t="s">
        <v>26</v>
      </c>
      <c r="L259" t="s">
        <v>43</v>
      </c>
      <c r="M259" t="str">
        <f>INDEX( dim_segment!$A$2:$A$5,MATCH(L259,  dim_segment!$B$2:$B$5, 0))</f>
        <v>SEG004</v>
      </c>
      <c r="N259" t="s">
        <v>28</v>
      </c>
      <c r="O259" s="2">
        <v>2</v>
      </c>
      <c r="P259" s="2">
        <v>75000</v>
      </c>
      <c r="Q259">
        <v>0.05</v>
      </c>
      <c r="R259" s="2">
        <v>142500</v>
      </c>
    </row>
    <row r="260" spans="1:18" x14ac:dyDescent="0.25">
      <c r="A260" t="s">
        <v>330</v>
      </c>
      <c r="B260" s="1">
        <v>45615</v>
      </c>
      <c r="C260" s="1" t="s">
        <v>125</v>
      </c>
      <c r="D260" t="s">
        <v>116</v>
      </c>
      <c r="E260" t="s">
        <v>276</v>
      </c>
      <c r="F260" t="s">
        <v>277</v>
      </c>
      <c r="G260" t="s">
        <v>278</v>
      </c>
      <c r="H260" t="s">
        <v>27</v>
      </c>
      <c r="I260" t="s">
        <v>51</v>
      </c>
      <c r="J260" t="s">
        <v>52</v>
      </c>
      <c r="K260" t="s">
        <v>42</v>
      </c>
      <c r="L260" t="s">
        <v>27</v>
      </c>
      <c r="M260" t="str">
        <f>INDEX( dim_segment!$A$2:$A$5,MATCH(L260,  dim_segment!$B$2:$B$5, 0))</f>
        <v>SEG002</v>
      </c>
      <c r="N260" t="s">
        <v>54</v>
      </c>
      <c r="O260" s="2">
        <v>1</v>
      </c>
      <c r="P260" s="2">
        <v>150000</v>
      </c>
      <c r="Q260">
        <v>7.0000000000000007E-2</v>
      </c>
      <c r="R260" s="2">
        <v>139500</v>
      </c>
    </row>
    <row r="261" spans="1:18" x14ac:dyDescent="0.25">
      <c r="A261" t="s">
        <v>331</v>
      </c>
      <c r="B261" s="1">
        <v>45613</v>
      </c>
      <c r="C261" s="1" t="s">
        <v>125</v>
      </c>
      <c r="D261" t="s">
        <v>116</v>
      </c>
      <c r="E261" t="s">
        <v>276</v>
      </c>
      <c r="F261" t="s">
        <v>277</v>
      </c>
      <c r="G261" t="s">
        <v>278</v>
      </c>
      <c r="H261" t="s">
        <v>27</v>
      </c>
      <c r="I261" t="s">
        <v>40</v>
      </c>
      <c r="J261" t="s">
        <v>41</v>
      </c>
      <c r="K261" t="s">
        <v>42</v>
      </c>
      <c r="L261" t="s">
        <v>27</v>
      </c>
      <c r="M261" t="str">
        <f>INDEX( dim_segment!$A$2:$A$5,MATCH(L261,  dim_segment!$B$2:$B$5, 0))</f>
        <v>SEG002</v>
      </c>
      <c r="N261" t="s">
        <v>37</v>
      </c>
      <c r="O261" s="2">
        <v>1</v>
      </c>
      <c r="P261" s="2">
        <v>85000</v>
      </c>
      <c r="Q261">
        <v>0.04</v>
      </c>
      <c r="R261" s="2">
        <v>81600</v>
      </c>
    </row>
    <row r="262" spans="1:18" x14ac:dyDescent="0.25">
      <c r="A262" t="s">
        <v>332</v>
      </c>
      <c r="B262" s="1">
        <v>45607</v>
      </c>
      <c r="C262" s="1" t="s">
        <v>125</v>
      </c>
      <c r="D262" t="s">
        <v>116</v>
      </c>
      <c r="E262" t="s">
        <v>276</v>
      </c>
      <c r="F262" t="s">
        <v>277</v>
      </c>
      <c r="G262" t="s">
        <v>278</v>
      </c>
      <c r="H262" t="s">
        <v>27</v>
      </c>
      <c r="I262" t="s">
        <v>35</v>
      </c>
      <c r="J262" t="s">
        <v>36</v>
      </c>
      <c r="K262" t="s">
        <v>32</v>
      </c>
      <c r="L262" t="s">
        <v>43</v>
      </c>
      <c r="M262" t="str">
        <f>INDEX( dim_segment!$A$2:$A$5,MATCH(L262,  dim_segment!$B$2:$B$5, 0))</f>
        <v>SEG004</v>
      </c>
      <c r="N262" t="s">
        <v>54</v>
      </c>
      <c r="O262" s="2">
        <v>3</v>
      </c>
      <c r="P262" s="2">
        <v>45000</v>
      </c>
      <c r="Q262">
        <v>0.08</v>
      </c>
      <c r="R262" s="2">
        <v>124200</v>
      </c>
    </row>
    <row r="263" spans="1:18" x14ac:dyDescent="0.25">
      <c r="A263" t="s">
        <v>333</v>
      </c>
      <c r="B263" s="1">
        <v>45603</v>
      </c>
      <c r="C263" s="1" t="s">
        <v>125</v>
      </c>
      <c r="D263" t="s">
        <v>116</v>
      </c>
      <c r="E263" t="s">
        <v>276</v>
      </c>
      <c r="F263" t="s">
        <v>277</v>
      </c>
      <c r="G263" t="s">
        <v>278</v>
      </c>
      <c r="H263" t="s">
        <v>27</v>
      </c>
      <c r="I263" t="s">
        <v>40</v>
      </c>
      <c r="J263" t="s">
        <v>41</v>
      </c>
      <c r="K263" t="s">
        <v>42</v>
      </c>
      <c r="L263" t="s">
        <v>27</v>
      </c>
      <c r="M263" t="str">
        <f>INDEX( dim_segment!$A$2:$A$5,MATCH(L263,  dim_segment!$B$2:$B$5, 0))</f>
        <v>SEG002</v>
      </c>
      <c r="N263" t="s">
        <v>54</v>
      </c>
      <c r="O263" s="2">
        <v>1</v>
      </c>
      <c r="P263" s="2">
        <v>85000</v>
      </c>
      <c r="Q263">
        <v>0.06</v>
      </c>
      <c r="R263" s="2">
        <v>79900</v>
      </c>
    </row>
    <row r="264" spans="1:18" x14ac:dyDescent="0.25">
      <c r="A264" t="s">
        <v>334</v>
      </c>
      <c r="B264" s="1">
        <v>45613</v>
      </c>
      <c r="C264" s="1" t="s">
        <v>125</v>
      </c>
      <c r="D264" t="s">
        <v>116</v>
      </c>
      <c r="E264" t="s">
        <v>276</v>
      </c>
      <c r="F264" t="s">
        <v>277</v>
      </c>
      <c r="G264" t="s">
        <v>278</v>
      </c>
      <c r="H264" t="s">
        <v>27</v>
      </c>
      <c r="I264" t="s">
        <v>30</v>
      </c>
      <c r="J264" t="s">
        <v>31</v>
      </c>
      <c r="K264" t="s">
        <v>32</v>
      </c>
      <c r="L264" t="s">
        <v>27</v>
      </c>
      <c r="M264" t="str">
        <f>INDEX( dim_segment!$A$2:$A$5,MATCH(L264,  dim_segment!$B$2:$B$5, 0))</f>
        <v>SEG002</v>
      </c>
      <c r="N264" t="s">
        <v>37</v>
      </c>
      <c r="O264" s="2">
        <v>5</v>
      </c>
      <c r="P264" s="2">
        <v>60000</v>
      </c>
      <c r="Q264">
        <v>0.06</v>
      </c>
      <c r="R264" s="2">
        <v>282000</v>
      </c>
    </row>
    <row r="265" spans="1:18" x14ac:dyDescent="0.25">
      <c r="A265" t="s">
        <v>335</v>
      </c>
      <c r="B265" s="1">
        <v>45651</v>
      </c>
      <c r="C265" s="1" t="s">
        <v>134</v>
      </c>
      <c r="D265" t="s">
        <v>116</v>
      </c>
      <c r="E265" t="s">
        <v>276</v>
      </c>
      <c r="F265" t="s">
        <v>277</v>
      </c>
      <c r="G265" t="s">
        <v>278</v>
      </c>
      <c r="H265" t="s">
        <v>27</v>
      </c>
      <c r="I265" t="s">
        <v>30</v>
      </c>
      <c r="J265" t="s">
        <v>31</v>
      </c>
      <c r="K265" t="s">
        <v>32</v>
      </c>
      <c r="L265" t="s">
        <v>23</v>
      </c>
      <c r="M265" t="str">
        <f>INDEX( dim_segment!$A$2:$A$5,MATCH(L265,  dim_segment!$B$2:$B$5, 0))</f>
        <v>SEG001</v>
      </c>
      <c r="N265" t="s">
        <v>37</v>
      </c>
      <c r="O265" s="2">
        <v>3</v>
      </c>
      <c r="P265" s="2">
        <v>60000</v>
      </c>
      <c r="Q265">
        <v>0.02</v>
      </c>
      <c r="R265" s="2">
        <v>176400</v>
      </c>
    </row>
    <row r="266" spans="1:18" x14ac:dyDescent="0.25">
      <c r="A266" t="s">
        <v>336</v>
      </c>
      <c r="B266" s="1">
        <v>45633</v>
      </c>
      <c r="C266" s="1" t="s">
        <v>134</v>
      </c>
      <c r="D266" t="s">
        <v>116</v>
      </c>
      <c r="E266" t="s">
        <v>276</v>
      </c>
      <c r="F266" t="s">
        <v>277</v>
      </c>
      <c r="G266" t="s">
        <v>278</v>
      </c>
      <c r="H266" t="s">
        <v>27</v>
      </c>
      <c r="I266" t="s">
        <v>47</v>
      </c>
      <c r="J266" t="s">
        <v>48</v>
      </c>
      <c r="K266" t="s">
        <v>49</v>
      </c>
      <c r="L266" t="s">
        <v>65</v>
      </c>
      <c r="M266" t="str">
        <f>INDEX( dim_segment!$A$2:$A$5,MATCH(L266,  dim_segment!$B$2:$B$5, 0))</f>
        <v>SEG003</v>
      </c>
      <c r="N266" t="s">
        <v>37</v>
      </c>
      <c r="O266" s="2">
        <v>3</v>
      </c>
      <c r="P266" s="2">
        <v>200000</v>
      </c>
      <c r="Q266">
        <v>0.01</v>
      </c>
      <c r="R266" s="2">
        <v>594000</v>
      </c>
    </row>
    <row r="267" spans="1:18" x14ac:dyDescent="0.25">
      <c r="A267" t="s">
        <v>337</v>
      </c>
      <c r="B267" s="1">
        <v>45639</v>
      </c>
      <c r="C267" s="1" t="s">
        <v>134</v>
      </c>
      <c r="D267" t="s">
        <v>116</v>
      </c>
      <c r="E267" t="s">
        <v>276</v>
      </c>
      <c r="F267" t="s">
        <v>277</v>
      </c>
      <c r="G267" t="s">
        <v>278</v>
      </c>
      <c r="H267" t="s">
        <v>27</v>
      </c>
      <c r="I267" t="s">
        <v>24</v>
      </c>
      <c r="J267" t="s">
        <v>25</v>
      </c>
      <c r="K267" t="s">
        <v>26</v>
      </c>
      <c r="L267" t="s">
        <v>65</v>
      </c>
      <c r="M267" t="str">
        <f>INDEX( dim_segment!$A$2:$A$5,MATCH(L267,  dim_segment!$B$2:$B$5, 0))</f>
        <v>SEG003</v>
      </c>
      <c r="N267" t="s">
        <v>54</v>
      </c>
      <c r="O267" s="2">
        <v>2</v>
      </c>
      <c r="P267" s="2">
        <v>75000</v>
      </c>
      <c r="Q267">
        <v>0.04</v>
      </c>
      <c r="R267" s="2">
        <v>144000</v>
      </c>
    </row>
    <row r="268" spans="1:18" x14ac:dyDescent="0.25">
      <c r="A268" t="s">
        <v>338</v>
      </c>
      <c r="B268" s="1">
        <v>45627</v>
      </c>
      <c r="C268" s="1" t="s">
        <v>134</v>
      </c>
      <c r="D268" t="s">
        <v>116</v>
      </c>
      <c r="E268" t="s">
        <v>276</v>
      </c>
      <c r="F268" t="s">
        <v>277</v>
      </c>
      <c r="G268" t="s">
        <v>278</v>
      </c>
      <c r="H268" t="s">
        <v>27</v>
      </c>
      <c r="I268" t="s">
        <v>24</v>
      </c>
      <c r="J268" t="s">
        <v>25</v>
      </c>
      <c r="K268" t="s">
        <v>26</v>
      </c>
      <c r="L268" t="s">
        <v>43</v>
      </c>
      <c r="M268" t="str">
        <f>INDEX( dim_segment!$A$2:$A$5,MATCH(L268,  dim_segment!$B$2:$B$5, 0))</f>
        <v>SEG004</v>
      </c>
      <c r="N268" t="s">
        <v>54</v>
      </c>
      <c r="O268" s="2">
        <v>1</v>
      </c>
      <c r="P268" s="2">
        <v>75000</v>
      </c>
      <c r="Q268">
        <v>0.04</v>
      </c>
      <c r="R268" s="2">
        <v>72000</v>
      </c>
    </row>
    <row r="269" spans="1:18" x14ac:dyDescent="0.25">
      <c r="A269" t="s">
        <v>339</v>
      </c>
      <c r="B269" s="1">
        <v>45640</v>
      </c>
      <c r="C269" s="1" t="s">
        <v>134</v>
      </c>
      <c r="D269" t="s">
        <v>116</v>
      </c>
      <c r="E269" t="s">
        <v>276</v>
      </c>
      <c r="F269" t="s">
        <v>277</v>
      </c>
      <c r="G269" t="s">
        <v>278</v>
      </c>
      <c r="H269" t="s">
        <v>27</v>
      </c>
      <c r="I269" t="s">
        <v>47</v>
      </c>
      <c r="J269" t="s">
        <v>48</v>
      </c>
      <c r="K269" t="s">
        <v>49</v>
      </c>
      <c r="L269" t="s">
        <v>43</v>
      </c>
      <c r="M269" t="str">
        <f>INDEX( dim_segment!$A$2:$A$5,MATCH(L269,  dim_segment!$B$2:$B$5, 0))</f>
        <v>SEG004</v>
      </c>
      <c r="N269" t="s">
        <v>37</v>
      </c>
      <c r="O269" s="2">
        <v>2</v>
      </c>
      <c r="P269" s="2">
        <v>200000</v>
      </c>
      <c r="Q269">
        <v>0.02</v>
      </c>
      <c r="R269" s="2">
        <v>392000</v>
      </c>
    </row>
    <row r="270" spans="1:18" x14ac:dyDescent="0.25">
      <c r="A270" t="s">
        <v>340</v>
      </c>
      <c r="B270" s="1">
        <v>45307</v>
      </c>
      <c r="C270" s="1" t="s">
        <v>18</v>
      </c>
      <c r="D270" t="s">
        <v>19</v>
      </c>
      <c r="E270" t="s">
        <v>341</v>
      </c>
      <c r="F270" t="s">
        <v>342</v>
      </c>
      <c r="G270" t="s">
        <v>343</v>
      </c>
      <c r="H270" t="s">
        <v>27</v>
      </c>
      <c r="I270" t="s">
        <v>40</v>
      </c>
      <c r="J270" t="s">
        <v>41</v>
      </c>
      <c r="K270" t="s">
        <v>42</v>
      </c>
      <c r="L270" t="s">
        <v>43</v>
      </c>
      <c r="M270" t="str">
        <f>INDEX( dim_segment!$A$2:$A$5,MATCH(L270,  dim_segment!$B$2:$B$5, 0))</f>
        <v>SEG004</v>
      </c>
      <c r="N270" t="s">
        <v>37</v>
      </c>
      <c r="O270" s="2">
        <v>4</v>
      </c>
      <c r="P270" s="2">
        <v>85000</v>
      </c>
      <c r="Q270">
        <v>0.02</v>
      </c>
      <c r="R270" s="2">
        <v>333200</v>
      </c>
    </row>
    <row r="271" spans="1:18" x14ac:dyDescent="0.25">
      <c r="A271" t="s">
        <v>344</v>
      </c>
      <c r="B271" s="1">
        <v>45305</v>
      </c>
      <c r="C271" s="1" t="s">
        <v>18</v>
      </c>
      <c r="D271" t="s">
        <v>19</v>
      </c>
      <c r="E271" t="s">
        <v>341</v>
      </c>
      <c r="F271" t="s">
        <v>342</v>
      </c>
      <c r="G271" t="s">
        <v>343</v>
      </c>
      <c r="H271" t="s">
        <v>27</v>
      </c>
      <c r="I271" t="s">
        <v>60</v>
      </c>
      <c r="J271" t="s">
        <v>61</v>
      </c>
      <c r="K271" t="s">
        <v>26</v>
      </c>
      <c r="L271" t="s">
        <v>27</v>
      </c>
      <c r="M271" t="str">
        <f>INDEX( dim_segment!$A$2:$A$5,MATCH(L271,  dim_segment!$B$2:$B$5, 0))</f>
        <v>SEG002</v>
      </c>
      <c r="N271" t="s">
        <v>33</v>
      </c>
      <c r="O271" s="2">
        <v>5</v>
      </c>
      <c r="P271" s="2">
        <v>95000</v>
      </c>
      <c r="Q271">
        <v>0.09</v>
      </c>
      <c r="R271" s="2">
        <v>432200</v>
      </c>
    </row>
    <row r="272" spans="1:18" x14ac:dyDescent="0.25">
      <c r="A272" t="s">
        <v>345</v>
      </c>
      <c r="B272" s="1">
        <v>45310</v>
      </c>
      <c r="C272" s="1" t="s">
        <v>18</v>
      </c>
      <c r="D272" t="s">
        <v>19</v>
      </c>
      <c r="E272" t="s">
        <v>341</v>
      </c>
      <c r="F272" t="s">
        <v>342</v>
      </c>
      <c r="G272" t="s">
        <v>343</v>
      </c>
      <c r="H272" t="s">
        <v>27</v>
      </c>
      <c r="I272" t="s">
        <v>75</v>
      </c>
      <c r="J272" t="s">
        <v>76</v>
      </c>
      <c r="K272" t="s">
        <v>49</v>
      </c>
      <c r="L272" t="s">
        <v>27</v>
      </c>
      <c r="M272" t="str">
        <f>INDEX( dim_segment!$A$2:$A$5,MATCH(L272,  dim_segment!$B$2:$B$5, 0))</f>
        <v>SEG002</v>
      </c>
      <c r="N272" t="s">
        <v>33</v>
      </c>
      <c r="O272" s="2">
        <v>1</v>
      </c>
      <c r="P272" s="2">
        <v>120000</v>
      </c>
      <c r="Q272">
        <v>0.1</v>
      </c>
      <c r="R272" s="2">
        <v>108000</v>
      </c>
    </row>
    <row r="273" spans="1:18" x14ac:dyDescent="0.25">
      <c r="A273" t="s">
        <v>346</v>
      </c>
      <c r="B273" s="1">
        <v>45337</v>
      </c>
      <c r="C273" s="1" t="s">
        <v>46</v>
      </c>
      <c r="D273" t="s">
        <v>19</v>
      </c>
      <c r="E273" t="s">
        <v>341</v>
      </c>
      <c r="F273" t="s">
        <v>342</v>
      </c>
      <c r="G273" t="s">
        <v>343</v>
      </c>
      <c r="H273" t="s">
        <v>27</v>
      </c>
      <c r="I273" t="s">
        <v>75</v>
      </c>
      <c r="J273" t="s">
        <v>76</v>
      </c>
      <c r="K273" t="s">
        <v>49</v>
      </c>
      <c r="L273" t="s">
        <v>43</v>
      </c>
      <c r="M273" t="str">
        <f>INDEX( dim_segment!$A$2:$A$5,MATCH(L273,  dim_segment!$B$2:$B$5, 0))</f>
        <v>SEG004</v>
      </c>
      <c r="N273" t="s">
        <v>54</v>
      </c>
      <c r="O273" s="2">
        <v>2</v>
      </c>
      <c r="P273" s="2">
        <v>120000</v>
      </c>
      <c r="Q273">
        <v>0.1</v>
      </c>
      <c r="R273" s="2">
        <v>216000</v>
      </c>
    </row>
    <row r="274" spans="1:18" x14ac:dyDescent="0.25">
      <c r="A274" t="s">
        <v>347</v>
      </c>
      <c r="B274" s="1">
        <v>45324</v>
      </c>
      <c r="C274" s="1" t="s">
        <v>46</v>
      </c>
      <c r="D274" t="s">
        <v>19</v>
      </c>
      <c r="E274" t="s">
        <v>341</v>
      </c>
      <c r="F274" t="s">
        <v>342</v>
      </c>
      <c r="G274" t="s">
        <v>343</v>
      </c>
      <c r="H274" t="s">
        <v>27</v>
      </c>
      <c r="I274" t="s">
        <v>51</v>
      </c>
      <c r="J274" t="s">
        <v>52</v>
      </c>
      <c r="K274" t="s">
        <v>42</v>
      </c>
      <c r="L274" t="s">
        <v>23</v>
      </c>
      <c r="M274" t="str">
        <f>INDEX( dim_segment!$A$2:$A$5,MATCH(L274,  dim_segment!$B$2:$B$5, 0))</f>
        <v>SEG001</v>
      </c>
      <c r="N274" t="s">
        <v>54</v>
      </c>
      <c r="O274" s="2">
        <v>5</v>
      </c>
      <c r="P274" s="2">
        <v>150000</v>
      </c>
      <c r="Q274">
        <v>0.11</v>
      </c>
      <c r="R274" s="2">
        <v>667500</v>
      </c>
    </row>
    <row r="275" spans="1:18" x14ac:dyDescent="0.25">
      <c r="A275" t="s">
        <v>348</v>
      </c>
      <c r="B275" s="1">
        <v>45349</v>
      </c>
      <c r="C275" s="1" t="s">
        <v>46</v>
      </c>
      <c r="D275" t="s">
        <v>19</v>
      </c>
      <c r="E275" t="s">
        <v>341</v>
      </c>
      <c r="F275" t="s">
        <v>342</v>
      </c>
      <c r="G275" t="s">
        <v>343</v>
      </c>
      <c r="H275" t="s">
        <v>27</v>
      </c>
      <c r="I275" t="s">
        <v>51</v>
      </c>
      <c r="J275" t="s">
        <v>52</v>
      </c>
      <c r="K275" t="s">
        <v>42</v>
      </c>
      <c r="L275" t="s">
        <v>65</v>
      </c>
      <c r="M275" t="str">
        <f>INDEX( dim_segment!$A$2:$A$5,MATCH(L275,  dim_segment!$B$2:$B$5, 0))</f>
        <v>SEG003</v>
      </c>
      <c r="N275" t="s">
        <v>37</v>
      </c>
      <c r="O275" s="2">
        <v>1</v>
      </c>
      <c r="P275" s="2">
        <v>150000</v>
      </c>
      <c r="Q275">
        <v>0.05</v>
      </c>
      <c r="R275" s="2">
        <v>142500</v>
      </c>
    </row>
    <row r="276" spans="1:18" x14ac:dyDescent="0.25">
      <c r="A276" t="s">
        <v>349</v>
      </c>
      <c r="B276" s="1">
        <v>45327</v>
      </c>
      <c r="C276" s="1" t="s">
        <v>46</v>
      </c>
      <c r="D276" t="s">
        <v>19</v>
      </c>
      <c r="E276" t="s">
        <v>341</v>
      </c>
      <c r="F276" t="s">
        <v>342</v>
      </c>
      <c r="G276" t="s">
        <v>343</v>
      </c>
      <c r="H276" t="s">
        <v>27</v>
      </c>
      <c r="I276" t="s">
        <v>24</v>
      </c>
      <c r="J276" t="s">
        <v>25</v>
      </c>
      <c r="K276" t="s">
        <v>26</v>
      </c>
      <c r="L276" t="s">
        <v>43</v>
      </c>
      <c r="M276" t="str">
        <f>INDEX( dim_segment!$A$2:$A$5,MATCH(L276,  dim_segment!$B$2:$B$5, 0))</f>
        <v>SEG004</v>
      </c>
      <c r="N276" t="s">
        <v>54</v>
      </c>
      <c r="O276" s="2">
        <v>1</v>
      </c>
      <c r="P276" s="2">
        <v>75000</v>
      </c>
      <c r="Q276">
        <v>0.06</v>
      </c>
      <c r="R276" s="2">
        <v>70500</v>
      </c>
    </row>
    <row r="277" spans="1:18" x14ac:dyDescent="0.25">
      <c r="A277" t="s">
        <v>350</v>
      </c>
      <c r="B277" s="1">
        <v>45327</v>
      </c>
      <c r="C277" s="1" t="s">
        <v>46</v>
      </c>
      <c r="D277" t="s">
        <v>19</v>
      </c>
      <c r="E277" t="s">
        <v>341</v>
      </c>
      <c r="F277" t="s">
        <v>342</v>
      </c>
      <c r="G277" t="s">
        <v>343</v>
      </c>
      <c r="H277" t="s">
        <v>27</v>
      </c>
      <c r="I277" t="s">
        <v>24</v>
      </c>
      <c r="J277" t="s">
        <v>25</v>
      </c>
      <c r="K277" t="s">
        <v>26</v>
      </c>
      <c r="L277" t="s">
        <v>23</v>
      </c>
      <c r="M277" t="str">
        <f>INDEX( dim_segment!$A$2:$A$5,MATCH(L277,  dim_segment!$B$2:$B$5, 0))</f>
        <v>SEG001</v>
      </c>
      <c r="N277" t="s">
        <v>33</v>
      </c>
      <c r="O277" s="2">
        <v>4</v>
      </c>
      <c r="P277" s="2">
        <v>75000</v>
      </c>
      <c r="Q277">
        <v>0.03</v>
      </c>
      <c r="R277" s="2">
        <v>291000</v>
      </c>
    </row>
    <row r="278" spans="1:18" x14ac:dyDescent="0.25">
      <c r="A278" t="s">
        <v>351</v>
      </c>
      <c r="B278" s="1">
        <v>45325</v>
      </c>
      <c r="C278" s="1" t="s">
        <v>46</v>
      </c>
      <c r="D278" t="s">
        <v>19</v>
      </c>
      <c r="E278" t="s">
        <v>341</v>
      </c>
      <c r="F278" t="s">
        <v>342</v>
      </c>
      <c r="G278" t="s">
        <v>343</v>
      </c>
      <c r="H278" t="s">
        <v>27</v>
      </c>
      <c r="I278" t="s">
        <v>51</v>
      </c>
      <c r="J278" t="s">
        <v>52</v>
      </c>
      <c r="K278" t="s">
        <v>42</v>
      </c>
      <c r="L278" t="s">
        <v>23</v>
      </c>
      <c r="M278" t="str">
        <f>INDEX( dim_segment!$A$2:$A$5,MATCH(L278,  dim_segment!$B$2:$B$5, 0))</f>
        <v>SEG001</v>
      </c>
      <c r="N278" t="s">
        <v>33</v>
      </c>
      <c r="O278" s="2">
        <v>3</v>
      </c>
      <c r="P278" s="2">
        <v>150000</v>
      </c>
      <c r="Q278">
        <v>0</v>
      </c>
      <c r="R278" s="2">
        <v>450000</v>
      </c>
    </row>
    <row r="279" spans="1:18" x14ac:dyDescent="0.25">
      <c r="A279" t="s">
        <v>352</v>
      </c>
      <c r="B279" s="1">
        <v>45325</v>
      </c>
      <c r="C279" s="1" t="s">
        <v>46</v>
      </c>
      <c r="D279" t="s">
        <v>19</v>
      </c>
      <c r="E279" t="s">
        <v>341</v>
      </c>
      <c r="F279" t="s">
        <v>342</v>
      </c>
      <c r="G279" t="s">
        <v>343</v>
      </c>
      <c r="H279" t="s">
        <v>27</v>
      </c>
      <c r="I279" t="s">
        <v>30</v>
      </c>
      <c r="J279" t="s">
        <v>31</v>
      </c>
      <c r="K279" t="s">
        <v>32</v>
      </c>
      <c r="L279" t="s">
        <v>65</v>
      </c>
      <c r="M279" t="str">
        <f>INDEX( dim_segment!$A$2:$A$5,MATCH(L279,  dim_segment!$B$2:$B$5, 0))</f>
        <v>SEG003</v>
      </c>
      <c r="N279" t="s">
        <v>28</v>
      </c>
      <c r="O279" s="2">
        <v>1</v>
      </c>
      <c r="P279" s="2">
        <v>60000</v>
      </c>
      <c r="Q279">
        <v>0.05</v>
      </c>
      <c r="R279" s="2">
        <v>57000</v>
      </c>
    </row>
    <row r="280" spans="1:18" x14ac:dyDescent="0.25">
      <c r="A280" t="s">
        <v>353</v>
      </c>
      <c r="B280" s="1">
        <v>45346</v>
      </c>
      <c r="C280" s="1" t="s">
        <v>46</v>
      </c>
      <c r="D280" t="s">
        <v>19</v>
      </c>
      <c r="E280" t="s">
        <v>341</v>
      </c>
      <c r="F280" t="s">
        <v>342</v>
      </c>
      <c r="G280" t="s">
        <v>343</v>
      </c>
      <c r="H280" t="s">
        <v>27</v>
      </c>
      <c r="I280" t="s">
        <v>35</v>
      </c>
      <c r="J280" t="s">
        <v>36</v>
      </c>
      <c r="K280" t="s">
        <v>32</v>
      </c>
      <c r="L280" t="s">
        <v>65</v>
      </c>
      <c r="M280" t="str">
        <f>INDEX( dim_segment!$A$2:$A$5,MATCH(L280,  dim_segment!$B$2:$B$5, 0))</f>
        <v>SEG003</v>
      </c>
      <c r="N280" t="s">
        <v>54</v>
      </c>
      <c r="O280" s="2">
        <v>3</v>
      </c>
      <c r="P280" s="2">
        <v>45000</v>
      </c>
      <c r="Q280">
        <v>0.08</v>
      </c>
      <c r="R280" s="2">
        <v>124200</v>
      </c>
    </row>
    <row r="281" spans="1:18" x14ac:dyDescent="0.25">
      <c r="A281" t="s">
        <v>354</v>
      </c>
      <c r="B281" s="1">
        <v>45344</v>
      </c>
      <c r="C281" s="1" t="s">
        <v>46</v>
      </c>
      <c r="D281" t="s">
        <v>19</v>
      </c>
      <c r="E281" t="s">
        <v>341</v>
      </c>
      <c r="F281" t="s">
        <v>342</v>
      </c>
      <c r="G281" t="s">
        <v>343</v>
      </c>
      <c r="H281" t="s">
        <v>27</v>
      </c>
      <c r="I281" t="s">
        <v>75</v>
      </c>
      <c r="J281" t="s">
        <v>76</v>
      </c>
      <c r="K281" t="s">
        <v>49</v>
      </c>
      <c r="L281" t="s">
        <v>27</v>
      </c>
      <c r="M281" t="str">
        <f>INDEX( dim_segment!$A$2:$A$5,MATCH(L281,  dim_segment!$B$2:$B$5, 0))</f>
        <v>SEG002</v>
      </c>
      <c r="N281" t="s">
        <v>37</v>
      </c>
      <c r="O281" s="2">
        <v>1</v>
      </c>
      <c r="P281" s="2">
        <v>120000</v>
      </c>
      <c r="Q281">
        <v>0.01</v>
      </c>
      <c r="R281" s="2">
        <v>118800</v>
      </c>
    </row>
    <row r="282" spans="1:18" x14ac:dyDescent="0.25">
      <c r="A282" t="s">
        <v>355</v>
      </c>
      <c r="B282" s="1">
        <v>45344</v>
      </c>
      <c r="C282" s="1" t="s">
        <v>46</v>
      </c>
      <c r="D282" t="s">
        <v>19</v>
      </c>
      <c r="E282" t="s">
        <v>341</v>
      </c>
      <c r="F282" t="s">
        <v>342</v>
      </c>
      <c r="G282" t="s">
        <v>343</v>
      </c>
      <c r="H282" t="s">
        <v>27</v>
      </c>
      <c r="I282" t="s">
        <v>51</v>
      </c>
      <c r="J282" t="s">
        <v>52</v>
      </c>
      <c r="K282" t="s">
        <v>42</v>
      </c>
      <c r="L282" t="s">
        <v>27</v>
      </c>
      <c r="M282" t="str">
        <f>INDEX( dim_segment!$A$2:$A$5,MATCH(L282,  dim_segment!$B$2:$B$5, 0))</f>
        <v>SEG002</v>
      </c>
      <c r="N282" t="s">
        <v>33</v>
      </c>
      <c r="O282" s="2">
        <v>4</v>
      </c>
      <c r="P282" s="2">
        <v>150000</v>
      </c>
      <c r="Q282">
        <v>0.06</v>
      </c>
      <c r="R282" s="2">
        <v>564000</v>
      </c>
    </row>
    <row r="283" spans="1:18" x14ac:dyDescent="0.25">
      <c r="A283" t="s">
        <v>356</v>
      </c>
      <c r="B283" s="1">
        <v>45360</v>
      </c>
      <c r="C283" s="1" t="s">
        <v>56</v>
      </c>
      <c r="D283" t="s">
        <v>19</v>
      </c>
      <c r="E283" t="s">
        <v>341</v>
      </c>
      <c r="F283" t="s">
        <v>342</v>
      </c>
      <c r="G283" t="s">
        <v>343</v>
      </c>
      <c r="H283" t="s">
        <v>27</v>
      </c>
      <c r="I283" t="s">
        <v>40</v>
      </c>
      <c r="J283" t="s">
        <v>41</v>
      </c>
      <c r="K283" t="s">
        <v>42</v>
      </c>
      <c r="L283" t="s">
        <v>27</v>
      </c>
      <c r="M283" t="str">
        <f>INDEX( dim_segment!$A$2:$A$5,MATCH(L283,  dim_segment!$B$2:$B$5, 0))</f>
        <v>SEG002</v>
      </c>
      <c r="N283" t="s">
        <v>54</v>
      </c>
      <c r="O283" s="2">
        <v>1</v>
      </c>
      <c r="P283" s="2">
        <v>85000</v>
      </c>
      <c r="Q283">
        <v>0.01</v>
      </c>
      <c r="R283" s="2">
        <v>84200</v>
      </c>
    </row>
    <row r="284" spans="1:18" x14ac:dyDescent="0.25">
      <c r="A284" t="s">
        <v>357</v>
      </c>
      <c r="B284" s="1">
        <v>45375</v>
      </c>
      <c r="C284" s="1" t="s">
        <v>56</v>
      </c>
      <c r="D284" t="s">
        <v>19</v>
      </c>
      <c r="E284" t="s">
        <v>341</v>
      </c>
      <c r="F284" t="s">
        <v>342</v>
      </c>
      <c r="G284" t="s">
        <v>343</v>
      </c>
      <c r="H284" t="s">
        <v>27</v>
      </c>
      <c r="I284" t="s">
        <v>60</v>
      </c>
      <c r="J284" t="s">
        <v>61</v>
      </c>
      <c r="K284" t="s">
        <v>26</v>
      </c>
      <c r="L284" t="s">
        <v>65</v>
      </c>
      <c r="M284" t="str">
        <f>INDEX( dim_segment!$A$2:$A$5,MATCH(L284,  dim_segment!$B$2:$B$5, 0))</f>
        <v>SEG003</v>
      </c>
      <c r="N284" t="s">
        <v>37</v>
      </c>
      <c r="O284" s="2">
        <v>4</v>
      </c>
      <c r="P284" s="2">
        <v>95000</v>
      </c>
      <c r="Q284">
        <v>0.02</v>
      </c>
      <c r="R284" s="2">
        <v>372400</v>
      </c>
    </row>
    <row r="285" spans="1:18" x14ac:dyDescent="0.25">
      <c r="A285" t="s">
        <v>358</v>
      </c>
      <c r="B285" s="1">
        <v>45370</v>
      </c>
      <c r="C285" s="1" t="s">
        <v>56</v>
      </c>
      <c r="D285" t="s">
        <v>19</v>
      </c>
      <c r="E285" t="s">
        <v>341</v>
      </c>
      <c r="F285" t="s">
        <v>342</v>
      </c>
      <c r="G285" t="s">
        <v>343</v>
      </c>
      <c r="H285" t="s">
        <v>27</v>
      </c>
      <c r="I285" t="s">
        <v>51</v>
      </c>
      <c r="J285" t="s">
        <v>52</v>
      </c>
      <c r="K285" t="s">
        <v>42</v>
      </c>
      <c r="L285" t="s">
        <v>43</v>
      </c>
      <c r="M285" t="str">
        <f>INDEX( dim_segment!$A$2:$A$5,MATCH(L285,  dim_segment!$B$2:$B$5, 0))</f>
        <v>SEG004</v>
      </c>
      <c r="N285" t="s">
        <v>54</v>
      </c>
      <c r="O285" s="2">
        <v>2</v>
      </c>
      <c r="P285" s="2">
        <v>150000</v>
      </c>
      <c r="Q285">
        <v>0.04</v>
      </c>
      <c r="R285" s="2">
        <v>288000</v>
      </c>
    </row>
    <row r="286" spans="1:18" x14ac:dyDescent="0.25">
      <c r="A286" t="s">
        <v>359</v>
      </c>
      <c r="B286" s="1">
        <v>45369</v>
      </c>
      <c r="C286" s="1" t="s">
        <v>56</v>
      </c>
      <c r="D286" t="s">
        <v>19</v>
      </c>
      <c r="E286" t="s">
        <v>341</v>
      </c>
      <c r="F286" t="s">
        <v>342</v>
      </c>
      <c r="G286" t="s">
        <v>343</v>
      </c>
      <c r="H286" t="s">
        <v>27</v>
      </c>
      <c r="I286" t="s">
        <v>51</v>
      </c>
      <c r="J286" t="s">
        <v>52</v>
      </c>
      <c r="K286" t="s">
        <v>42</v>
      </c>
      <c r="L286" t="s">
        <v>23</v>
      </c>
      <c r="M286" t="str">
        <f>INDEX( dim_segment!$A$2:$A$5,MATCH(L286,  dim_segment!$B$2:$B$5, 0))</f>
        <v>SEG001</v>
      </c>
      <c r="N286" t="s">
        <v>37</v>
      </c>
      <c r="O286" s="2">
        <v>5</v>
      </c>
      <c r="P286" s="2">
        <v>150000</v>
      </c>
      <c r="Q286">
        <v>0.11</v>
      </c>
      <c r="R286" s="2">
        <v>667500</v>
      </c>
    </row>
    <row r="287" spans="1:18" x14ac:dyDescent="0.25">
      <c r="A287" t="s">
        <v>360</v>
      </c>
      <c r="B287" s="1">
        <v>45361</v>
      </c>
      <c r="C287" s="1" t="s">
        <v>56</v>
      </c>
      <c r="D287" t="s">
        <v>19</v>
      </c>
      <c r="E287" t="s">
        <v>341</v>
      </c>
      <c r="F287" t="s">
        <v>342</v>
      </c>
      <c r="G287" t="s">
        <v>343</v>
      </c>
      <c r="H287" t="s">
        <v>27</v>
      </c>
      <c r="I287" t="s">
        <v>51</v>
      </c>
      <c r="J287" t="s">
        <v>52</v>
      </c>
      <c r="K287" t="s">
        <v>42</v>
      </c>
      <c r="L287" t="s">
        <v>65</v>
      </c>
      <c r="M287" t="str">
        <f>INDEX( dim_segment!$A$2:$A$5,MATCH(L287,  dim_segment!$B$2:$B$5, 0))</f>
        <v>SEG003</v>
      </c>
      <c r="N287" t="s">
        <v>28</v>
      </c>
      <c r="O287" s="2">
        <v>1</v>
      </c>
      <c r="P287" s="2">
        <v>150000</v>
      </c>
      <c r="Q287">
        <v>0.02</v>
      </c>
      <c r="R287" s="2">
        <v>147000</v>
      </c>
    </row>
    <row r="288" spans="1:18" x14ac:dyDescent="0.25">
      <c r="A288" t="s">
        <v>361</v>
      </c>
      <c r="B288" s="1">
        <v>45405</v>
      </c>
      <c r="C288" s="1" t="s">
        <v>67</v>
      </c>
      <c r="D288" t="s">
        <v>68</v>
      </c>
      <c r="E288" t="s">
        <v>341</v>
      </c>
      <c r="F288" t="s">
        <v>342</v>
      </c>
      <c r="G288" t="s">
        <v>343</v>
      </c>
      <c r="H288" t="s">
        <v>27</v>
      </c>
      <c r="I288" t="s">
        <v>47</v>
      </c>
      <c r="J288" t="s">
        <v>48</v>
      </c>
      <c r="K288" t="s">
        <v>49</v>
      </c>
      <c r="L288" t="s">
        <v>43</v>
      </c>
      <c r="M288" t="str">
        <f>INDEX( dim_segment!$A$2:$A$5,MATCH(L288,  dim_segment!$B$2:$B$5, 0))</f>
        <v>SEG004</v>
      </c>
      <c r="N288" t="s">
        <v>37</v>
      </c>
      <c r="O288" s="2">
        <v>1</v>
      </c>
      <c r="P288" s="2">
        <v>200000</v>
      </c>
      <c r="Q288">
        <v>0.01</v>
      </c>
      <c r="R288" s="2">
        <v>198000</v>
      </c>
    </row>
    <row r="289" spans="1:18" x14ac:dyDescent="0.25">
      <c r="A289" t="s">
        <v>362</v>
      </c>
      <c r="B289" s="1">
        <v>45391</v>
      </c>
      <c r="C289" s="1" t="s">
        <v>67</v>
      </c>
      <c r="D289" t="s">
        <v>68</v>
      </c>
      <c r="E289" t="s">
        <v>341</v>
      </c>
      <c r="F289" t="s">
        <v>342</v>
      </c>
      <c r="G289" t="s">
        <v>343</v>
      </c>
      <c r="H289" t="s">
        <v>27</v>
      </c>
      <c r="I289" t="s">
        <v>35</v>
      </c>
      <c r="J289" t="s">
        <v>36</v>
      </c>
      <c r="K289" t="s">
        <v>32</v>
      </c>
      <c r="L289" t="s">
        <v>43</v>
      </c>
      <c r="M289" t="str">
        <f>INDEX( dim_segment!$A$2:$A$5,MATCH(L289,  dim_segment!$B$2:$B$5, 0))</f>
        <v>SEG004</v>
      </c>
      <c r="N289" t="s">
        <v>54</v>
      </c>
      <c r="O289" s="2">
        <v>5</v>
      </c>
      <c r="P289" s="2">
        <v>45000</v>
      </c>
      <c r="Q289">
        <v>0.02</v>
      </c>
      <c r="R289" s="2">
        <v>220500</v>
      </c>
    </row>
    <row r="290" spans="1:18" x14ac:dyDescent="0.25">
      <c r="A290" t="s">
        <v>363</v>
      </c>
      <c r="B290" s="1">
        <v>45392</v>
      </c>
      <c r="C290" s="1" t="s">
        <v>67</v>
      </c>
      <c r="D290" t="s">
        <v>68</v>
      </c>
      <c r="E290" t="s">
        <v>341</v>
      </c>
      <c r="F290" t="s">
        <v>342</v>
      </c>
      <c r="G290" t="s">
        <v>343</v>
      </c>
      <c r="H290" t="s">
        <v>27</v>
      </c>
      <c r="I290" t="s">
        <v>30</v>
      </c>
      <c r="J290" t="s">
        <v>31</v>
      </c>
      <c r="K290" t="s">
        <v>32</v>
      </c>
      <c r="L290" t="s">
        <v>65</v>
      </c>
      <c r="M290" t="str">
        <f>INDEX( dim_segment!$A$2:$A$5,MATCH(L290,  dim_segment!$B$2:$B$5, 0))</f>
        <v>SEG003</v>
      </c>
      <c r="N290" t="s">
        <v>54</v>
      </c>
      <c r="O290" s="2">
        <v>5</v>
      </c>
      <c r="P290" s="2">
        <v>60000</v>
      </c>
      <c r="Q290">
        <v>0.02</v>
      </c>
      <c r="R290" s="2">
        <v>294000</v>
      </c>
    </row>
    <row r="291" spans="1:18" x14ac:dyDescent="0.25">
      <c r="A291" t="s">
        <v>364</v>
      </c>
      <c r="B291" s="1">
        <v>45388</v>
      </c>
      <c r="C291" s="1" t="s">
        <v>67</v>
      </c>
      <c r="D291" t="s">
        <v>68</v>
      </c>
      <c r="E291" t="s">
        <v>341</v>
      </c>
      <c r="F291" t="s">
        <v>342</v>
      </c>
      <c r="G291" t="s">
        <v>343</v>
      </c>
      <c r="H291" t="s">
        <v>27</v>
      </c>
      <c r="I291" t="s">
        <v>24</v>
      </c>
      <c r="J291" t="s">
        <v>25</v>
      </c>
      <c r="K291" t="s">
        <v>26</v>
      </c>
      <c r="L291" t="s">
        <v>43</v>
      </c>
      <c r="M291" t="str">
        <f>INDEX( dim_segment!$A$2:$A$5,MATCH(L291,  dim_segment!$B$2:$B$5, 0))</f>
        <v>SEG004</v>
      </c>
      <c r="N291" t="s">
        <v>33</v>
      </c>
      <c r="O291" s="2">
        <v>5</v>
      </c>
      <c r="P291" s="2">
        <v>75000</v>
      </c>
      <c r="Q291">
        <v>0.08</v>
      </c>
      <c r="R291" s="2">
        <v>345000</v>
      </c>
    </row>
    <row r="292" spans="1:18" x14ac:dyDescent="0.25">
      <c r="A292" t="s">
        <v>365</v>
      </c>
      <c r="B292" s="1">
        <v>45422</v>
      </c>
      <c r="C292" s="1" t="s">
        <v>78</v>
      </c>
      <c r="D292" t="s">
        <v>68</v>
      </c>
      <c r="E292" t="s">
        <v>341</v>
      </c>
      <c r="F292" t="s">
        <v>342</v>
      </c>
      <c r="G292" t="s">
        <v>343</v>
      </c>
      <c r="H292" t="s">
        <v>27</v>
      </c>
      <c r="I292" t="s">
        <v>24</v>
      </c>
      <c r="J292" t="s">
        <v>25</v>
      </c>
      <c r="K292" t="s">
        <v>26</v>
      </c>
      <c r="L292" t="s">
        <v>43</v>
      </c>
      <c r="M292" t="str">
        <f>INDEX( dim_segment!$A$2:$A$5,MATCH(L292,  dim_segment!$B$2:$B$5, 0))</f>
        <v>SEG004</v>
      </c>
      <c r="N292" t="s">
        <v>33</v>
      </c>
      <c r="O292" s="2">
        <v>2</v>
      </c>
      <c r="P292" s="2">
        <v>75000</v>
      </c>
      <c r="Q292">
        <v>0.01</v>
      </c>
      <c r="R292" s="2">
        <v>148500</v>
      </c>
    </row>
    <row r="293" spans="1:18" x14ac:dyDescent="0.25">
      <c r="A293" t="s">
        <v>366</v>
      </c>
      <c r="B293" s="1">
        <v>45439</v>
      </c>
      <c r="C293" s="1" t="s">
        <v>78</v>
      </c>
      <c r="D293" t="s">
        <v>68</v>
      </c>
      <c r="E293" t="s">
        <v>341</v>
      </c>
      <c r="F293" t="s">
        <v>342</v>
      </c>
      <c r="G293" t="s">
        <v>343</v>
      </c>
      <c r="H293" t="s">
        <v>27</v>
      </c>
      <c r="I293" t="s">
        <v>40</v>
      </c>
      <c r="J293" t="s">
        <v>41</v>
      </c>
      <c r="K293" t="s">
        <v>42</v>
      </c>
      <c r="L293" t="s">
        <v>23</v>
      </c>
      <c r="M293" t="str">
        <f>INDEX( dim_segment!$A$2:$A$5,MATCH(L293,  dim_segment!$B$2:$B$5, 0))</f>
        <v>SEG001</v>
      </c>
      <c r="N293" t="s">
        <v>54</v>
      </c>
      <c r="O293" s="2">
        <v>2</v>
      </c>
      <c r="P293" s="2">
        <v>85000</v>
      </c>
      <c r="Q293">
        <v>0.04</v>
      </c>
      <c r="R293" s="2">
        <v>163200</v>
      </c>
    </row>
    <row r="294" spans="1:18" x14ac:dyDescent="0.25">
      <c r="A294" t="s">
        <v>367</v>
      </c>
      <c r="B294" s="1">
        <v>45434</v>
      </c>
      <c r="C294" s="1" t="s">
        <v>78</v>
      </c>
      <c r="D294" t="s">
        <v>68</v>
      </c>
      <c r="E294" t="s">
        <v>341</v>
      </c>
      <c r="F294" t="s">
        <v>342</v>
      </c>
      <c r="G294" t="s">
        <v>343</v>
      </c>
      <c r="H294" t="s">
        <v>27</v>
      </c>
      <c r="I294" t="s">
        <v>75</v>
      </c>
      <c r="J294" t="s">
        <v>76</v>
      </c>
      <c r="K294" t="s">
        <v>49</v>
      </c>
      <c r="L294" t="s">
        <v>27</v>
      </c>
      <c r="M294" t="str">
        <f>INDEX( dim_segment!$A$2:$A$5,MATCH(L294,  dim_segment!$B$2:$B$5, 0))</f>
        <v>SEG002</v>
      </c>
      <c r="N294" t="s">
        <v>33</v>
      </c>
      <c r="O294" s="2">
        <v>2</v>
      </c>
      <c r="P294" s="2">
        <v>120000</v>
      </c>
      <c r="Q294">
        <v>0.09</v>
      </c>
      <c r="R294" s="2">
        <v>218400</v>
      </c>
    </row>
    <row r="295" spans="1:18" x14ac:dyDescent="0.25">
      <c r="A295" t="s">
        <v>368</v>
      </c>
      <c r="B295" s="1">
        <v>45426</v>
      </c>
      <c r="C295" s="1" t="s">
        <v>78</v>
      </c>
      <c r="D295" t="s">
        <v>68</v>
      </c>
      <c r="E295" t="s">
        <v>341</v>
      </c>
      <c r="F295" t="s">
        <v>342</v>
      </c>
      <c r="G295" t="s">
        <v>343</v>
      </c>
      <c r="H295" t="s">
        <v>27</v>
      </c>
      <c r="I295" t="s">
        <v>60</v>
      </c>
      <c r="J295" t="s">
        <v>61</v>
      </c>
      <c r="K295" t="s">
        <v>26</v>
      </c>
      <c r="L295" t="s">
        <v>23</v>
      </c>
      <c r="M295" t="str">
        <f>INDEX( dim_segment!$A$2:$A$5,MATCH(L295,  dim_segment!$B$2:$B$5, 0))</f>
        <v>SEG001</v>
      </c>
      <c r="N295" t="s">
        <v>37</v>
      </c>
      <c r="O295" s="2">
        <v>5</v>
      </c>
      <c r="P295" s="2">
        <v>95000</v>
      </c>
      <c r="Q295">
        <v>0.11</v>
      </c>
      <c r="R295" s="2">
        <v>422800</v>
      </c>
    </row>
    <row r="296" spans="1:18" x14ac:dyDescent="0.25">
      <c r="A296" t="s">
        <v>369</v>
      </c>
      <c r="B296" s="1">
        <v>45418</v>
      </c>
      <c r="C296" s="1" t="s">
        <v>78</v>
      </c>
      <c r="D296" t="s">
        <v>68</v>
      </c>
      <c r="E296" t="s">
        <v>341</v>
      </c>
      <c r="F296" t="s">
        <v>342</v>
      </c>
      <c r="G296" t="s">
        <v>343</v>
      </c>
      <c r="H296" t="s">
        <v>27</v>
      </c>
      <c r="I296" t="s">
        <v>35</v>
      </c>
      <c r="J296" t="s">
        <v>36</v>
      </c>
      <c r="K296" t="s">
        <v>32</v>
      </c>
      <c r="L296" t="s">
        <v>23</v>
      </c>
      <c r="M296" t="str">
        <f>INDEX( dim_segment!$A$2:$A$5,MATCH(L296,  dim_segment!$B$2:$B$5, 0))</f>
        <v>SEG001</v>
      </c>
      <c r="N296" t="s">
        <v>37</v>
      </c>
      <c r="O296" s="2">
        <v>1</v>
      </c>
      <c r="P296" s="2">
        <v>45000</v>
      </c>
      <c r="Q296">
        <v>0.01</v>
      </c>
      <c r="R296" s="2">
        <v>44600</v>
      </c>
    </row>
    <row r="297" spans="1:18" x14ac:dyDescent="0.25">
      <c r="A297" t="s">
        <v>370</v>
      </c>
      <c r="B297" s="1">
        <v>45467</v>
      </c>
      <c r="C297" s="1" t="s">
        <v>84</v>
      </c>
      <c r="D297" t="s">
        <v>68</v>
      </c>
      <c r="E297" t="s">
        <v>341</v>
      </c>
      <c r="F297" t="s">
        <v>342</v>
      </c>
      <c r="G297" t="s">
        <v>343</v>
      </c>
      <c r="H297" t="s">
        <v>27</v>
      </c>
      <c r="I297" t="s">
        <v>51</v>
      </c>
      <c r="J297" t="s">
        <v>52</v>
      </c>
      <c r="K297" t="s">
        <v>42</v>
      </c>
      <c r="L297" t="s">
        <v>27</v>
      </c>
      <c r="M297" t="str">
        <f>INDEX( dim_segment!$A$2:$A$5,MATCH(L297,  dim_segment!$B$2:$B$5, 0))</f>
        <v>SEG002</v>
      </c>
      <c r="N297" t="s">
        <v>37</v>
      </c>
      <c r="O297" s="2">
        <v>3</v>
      </c>
      <c r="P297" s="2">
        <v>150000</v>
      </c>
      <c r="Q297">
        <v>0.11</v>
      </c>
      <c r="R297" s="2">
        <v>400500</v>
      </c>
    </row>
    <row r="298" spans="1:18" x14ac:dyDescent="0.25">
      <c r="A298" t="s">
        <v>371</v>
      </c>
      <c r="B298" s="1">
        <v>45445</v>
      </c>
      <c r="C298" s="1" t="s">
        <v>84</v>
      </c>
      <c r="D298" t="s">
        <v>68</v>
      </c>
      <c r="E298" t="s">
        <v>341</v>
      </c>
      <c r="F298" t="s">
        <v>342</v>
      </c>
      <c r="G298" t="s">
        <v>343</v>
      </c>
      <c r="H298" t="s">
        <v>27</v>
      </c>
      <c r="I298" t="s">
        <v>24</v>
      </c>
      <c r="J298" t="s">
        <v>25</v>
      </c>
      <c r="K298" t="s">
        <v>26</v>
      </c>
      <c r="L298" t="s">
        <v>27</v>
      </c>
      <c r="M298" t="str">
        <f>INDEX( dim_segment!$A$2:$A$5,MATCH(L298,  dim_segment!$B$2:$B$5, 0))</f>
        <v>SEG002</v>
      </c>
      <c r="N298" t="s">
        <v>33</v>
      </c>
      <c r="O298" s="2">
        <v>2</v>
      </c>
      <c r="P298" s="2">
        <v>75000</v>
      </c>
      <c r="Q298">
        <v>0.05</v>
      </c>
      <c r="R298" s="2">
        <v>142500</v>
      </c>
    </row>
    <row r="299" spans="1:18" x14ac:dyDescent="0.25">
      <c r="A299" t="s">
        <v>372</v>
      </c>
      <c r="B299" s="1">
        <v>45451</v>
      </c>
      <c r="C299" s="1" t="s">
        <v>84</v>
      </c>
      <c r="D299" t="s">
        <v>68</v>
      </c>
      <c r="E299" t="s">
        <v>341</v>
      </c>
      <c r="F299" t="s">
        <v>342</v>
      </c>
      <c r="G299" t="s">
        <v>343</v>
      </c>
      <c r="H299" t="s">
        <v>27</v>
      </c>
      <c r="I299" t="s">
        <v>40</v>
      </c>
      <c r="J299" t="s">
        <v>41</v>
      </c>
      <c r="K299" t="s">
        <v>42</v>
      </c>
      <c r="L299" t="s">
        <v>43</v>
      </c>
      <c r="M299" t="str">
        <f>INDEX( dim_segment!$A$2:$A$5,MATCH(L299,  dim_segment!$B$2:$B$5, 0))</f>
        <v>SEG004</v>
      </c>
      <c r="N299" t="s">
        <v>37</v>
      </c>
      <c r="O299" s="2">
        <v>2</v>
      </c>
      <c r="P299" s="2">
        <v>85000</v>
      </c>
      <c r="Q299">
        <v>0.06</v>
      </c>
      <c r="R299" s="2">
        <v>159800</v>
      </c>
    </row>
    <row r="300" spans="1:18" x14ac:dyDescent="0.25">
      <c r="A300" t="s">
        <v>373</v>
      </c>
      <c r="B300" s="1">
        <v>45470</v>
      </c>
      <c r="C300" s="1" t="s">
        <v>84</v>
      </c>
      <c r="D300" t="s">
        <v>68</v>
      </c>
      <c r="E300" t="s">
        <v>341</v>
      </c>
      <c r="F300" t="s">
        <v>342</v>
      </c>
      <c r="G300" t="s">
        <v>343</v>
      </c>
      <c r="H300" t="s">
        <v>27</v>
      </c>
      <c r="I300" t="s">
        <v>24</v>
      </c>
      <c r="J300" t="s">
        <v>25</v>
      </c>
      <c r="K300" t="s">
        <v>26</v>
      </c>
      <c r="L300" t="s">
        <v>27</v>
      </c>
      <c r="M300" t="str">
        <f>INDEX( dim_segment!$A$2:$A$5,MATCH(L300,  dim_segment!$B$2:$B$5, 0))</f>
        <v>SEG002</v>
      </c>
      <c r="N300" t="s">
        <v>54</v>
      </c>
      <c r="O300" s="2">
        <v>2</v>
      </c>
      <c r="P300" s="2">
        <v>75000</v>
      </c>
      <c r="Q300">
        <v>0.08</v>
      </c>
      <c r="R300" s="2">
        <v>138000</v>
      </c>
    </row>
    <row r="301" spans="1:18" x14ac:dyDescent="0.25">
      <c r="A301" t="s">
        <v>374</v>
      </c>
      <c r="B301" s="1">
        <v>45467</v>
      </c>
      <c r="C301" s="1" t="s">
        <v>84</v>
      </c>
      <c r="D301" t="s">
        <v>68</v>
      </c>
      <c r="E301" t="s">
        <v>341</v>
      </c>
      <c r="F301" t="s">
        <v>342</v>
      </c>
      <c r="G301" t="s">
        <v>343</v>
      </c>
      <c r="H301" t="s">
        <v>27</v>
      </c>
      <c r="I301" t="s">
        <v>75</v>
      </c>
      <c r="J301" t="s">
        <v>76</v>
      </c>
      <c r="K301" t="s">
        <v>49</v>
      </c>
      <c r="L301" t="s">
        <v>65</v>
      </c>
      <c r="M301" t="str">
        <f>INDEX( dim_segment!$A$2:$A$5,MATCH(L301,  dim_segment!$B$2:$B$5, 0))</f>
        <v>SEG003</v>
      </c>
      <c r="N301" t="s">
        <v>54</v>
      </c>
      <c r="O301" s="2">
        <v>4</v>
      </c>
      <c r="P301" s="2">
        <v>120000</v>
      </c>
      <c r="Q301">
        <v>0.08</v>
      </c>
      <c r="R301" s="2">
        <v>441600</v>
      </c>
    </row>
    <row r="302" spans="1:18" x14ac:dyDescent="0.25">
      <c r="A302" t="s">
        <v>375</v>
      </c>
      <c r="B302" s="1">
        <v>45468</v>
      </c>
      <c r="C302" s="1" t="s">
        <v>84</v>
      </c>
      <c r="D302" t="s">
        <v>68</v>
      </c>
      <c r="E302" t="s">
        <v>341</v>
      </c>
      <c r="F302" t="s">
        <v>342</v>
      </c>
      <c r="G302" t="s">
        <v>343</v>
      </c>
      <c r="H302" t="s">
        <v>27</v>
      </c>
      <c r="I302" t="s">
        <v>35</v>
      </c>
      <c r="J302" t="s">
        <v>36</v>
      </c>
      <c r="K302" t="s">
        <v>32</v>
      </c>
      <c r="L302" t="s">
        <v>23</v>
      </c>
      <c r="M302" t="str">
        <f>INDEX( dim_segment!$A$2:$A$5,MATCH(L302,  dim_segment!$B$2:$B$5, 0))</f>
        <v>SEG001</v>
      </c>
      <c r="N302" t="s">
        <v>28</v>
      </c>
      <c r="O302" s="2">
        <v>3</v>
      </c>
      <c r="P302" s="2">
        <v>45000</v>
      </c>
      <c r="Q302">
        <v>0.11</v>
      </c>
      <c r="R302" s="2">
        <v>120200</v>
      </c>
    </row>
    <row r="303" spans="1:18" x14ac:dyDescent="0.25">
      <c r="A303" t="s">
        <v>376</v>
      </c>
      <c r="B303" s="1">
        <v>45446</v>
      </c>
      <c r="C303" s="1" t="s">
        <v>84</v>
      </c>
      <c r="D303" t="s">
        <v>68</v>
      </c>
      <c r="E303" t="s">
        <v>341</v>
      </c>
      <c r="F303" t="s">
        <v>342</v>
      </c>
      <c r="G303" t="s">
        <v>343</v>
      </c>
      <c r="H303" t="s">
        <v>27</v>
      </c>
      <c r="I303" t="s">
        <v>24</v>
      </c>
      <c r="J303" t="s">
        <v>25</v>
      </c>
      <c r="K303" t="s">
        <v>26</v>
      </c>
      <c r="L303" t="s">
        <v>43</v>
      </c>
      <c r="M303" t="str">
        <f>INDEX( dim_segment!$A$2:$A$5,MATCH(L303,  dim_segment!$B$2:$B$5, 0))</f>
        <v>SEG004</v>
      </c>
      <c r="N303" t="s">
        <v>28</v>
      </c>
      <c r="O303" s="2">
        <v>2</v>
      </c>
      <c r="P303" s="2">
        <v>75000</v>
      </c>
      <c r="Q303">
        <v>0.09</v>
      </c>
      <c r="R303" s="2">
        <v>136500</v>
      </c>
    </row>
    <row r="304" spans="1:18" x14ac:dyDescent="0.25">
      <c r="A304" t="s">
        <v>377</v>
      </c>
      <c r="B304" s="1">
        <v>45496</v>
      </c>
      <c r="C304" s="1" t="s">
        <v>92</v>
      </c>
      <c r="D304" t="s">
        <v>93</v>
      </c>
      <c r="E304" t="s">
        <v>341</v>
      </c>
      <c r="F304" t="s">
        <v>342</v>
      </c>
      <c r="G304" t="s">
        <v>343</v>
      </c>
      <c r="H304" t="s">
        <v>27</v>
      </c>
      <c r="I304" t="s">
        <v>60</v>
      </c>
      <c r="J304" t="s">
        <v>61</v>
      </c>
      <c r="K304" t="s">
        <v>26</v>
      </c>
      <c r="L304" t="s">
        <v>43</v>
      </c>
      <c r="M304" t="str">
        <f>INDEX( dim_segment!$A$2:$A$5,MATCH(L304,  dim_segment!$B$2:$B$5, 0))</f>
        <v>SEG004</v>
      </c>
      <c r="N304" t="s">
        <v>54</v>
      </c>
      <c r="O304" s="2">
        <v>2</v>
      </c>
      <c r="P304" s="2">
        <v>95000</v>
      </c>
      <c r="Q304">
        <v>0.01</v>
      </c>
      <c r="R304" s="2">
        <v>188100</v>
      </c>
    </row>
    <row r="305" spans="1:18" x14ac:dyDescent="0.25">
      <c r="A305" t="s">
        <v>378</v>
      </c>
      <c r="B305" s="1">
        <v>45485</v>
      </c>
      <c r="C305" s="1" t="s">
        <v>92</v>
      </c>
      <c r="D305" t="s">
        <v>93</v>
      </c>
      <c r="E305" t="s">
        <v>341</v>
      </c>
      <c r="F305" t="s">
        <v>342</v>
      </c>
      <c r="G305" t="s">
        <v>343</v>
      </c>
      <c r="H305" t="s">
        <v>27</v>
      </c>
      <c r="I305" t="s">
        <v>24</v>
      </c>
      <c r="J305" t="s">
        <v>25</v>
      </c>
      <c r="K305" t="s">
        <v>26</v>
      </c>
      <c r="L305" t="s">
        <v>43</v>
      </c>
      <c r="M305" t="str">
        <f>INDEX( dim_segment!$A$2:$A$5,MATCH(L305,  dim_segment!$B$2:$B$5, 0))</f>
        <v>SEG004</v>
      </c>
      <c r="N305" t="s">
        <v>54</v>
      </c>
      <c r="O305" s="2">
        <v>2</v>
      </c>
      <c r="P305" s="2">
        <v>75000</v>
      </c>
      <c r="Q305">
        <v>7.0000000000000007E-2</v>
      </c>
      <c r="R305" s="2">
        <v>139500</v>
      </c>
    </row>
    <row r="306" spans="1:18" x14ac:dyDescent="0.25">
      <c r="A306" t="s">
        <v>379</v>
      </c>
      <c r="B306" s="1">
        <v>45474</v>
      </c>
      <c r="C306" s="1" t="s">
        <v>92</v>
      </c>
      <c r="D306" t="s">
        <v>93</v>
      </c>
      <c r="E306" t="s">
        <v>341</v>
      </c>
      <c r="F306" t="s">
        <v>342</v>
      </c>
      <c r="G306" t="s">
        <v>343</v>
      </c>
      <c r="H306" t="s">
        <v>27</v>
      </c>
      <c r="I306" t="s">
        <v>40</v>
      </c>
      <c r="J306" t="s">
        <v>41</v>
      </c>
      <c r="K306" t="s">
        <v>42</v>
      </c>
      <c r="L306" t="s">
        <v>43</v>
      </c>
      <c r="M306" t="str">
        <f>INDEX( dim_segment!$A$2:$A$5,MATCH(L306,  dim_segment!$B$2:$B$5, 0))</f>
        <v>SEG004</v>
      </c>
      <c r="N306" t="s">
        <v>33</v>
      </c>
      <c r="O306" s="2">
        <v>2</v>
      </c>
      <c r="P306" s="2">
        <v>85000</v>
      </c>
      <c r="Q306">
        <v>0.04</v>
      </c>
      <c r="R306" s="2">
        <v>163200</v>
      </c>
    </row>
    <row r="307" spans="1:18" x14ac:dyDescent="0.25">
      <c r="A307" t="s">
        <v>380</v>
      </c>
      <c r="B307" s="1">
        <v>45487</v>
      </c>
      <c r="C307" s="1" t="s">
        <v>92</v>
      </c>
      <c r="D307" t="s">
        <v>93</v>
      </c>
      <c r="E307" t="s">
        <v>341</v>
      </c>
      <c r="F307" t="s">
        <v>342</v>
      </c>
      <c r="G307" t="s">
        <v>343</v>
      </c>
      <c r="H307" t="s">
        <v>27</v>
      </c>
      <c r="I307" t="s">
        <v>47</v>
      </c>
      <c r="J307" t="s">
        <v>48</v>
      </c>
      <c r="K307" t="s">
        <v>49</v>
      </c>
      <c r="L307" t="s">
        <v>27</v>
      </c>
      <c r="M307" t="str">
        <f>INDEX( dim_segment!$A$2:$A$5,MATCH(L307,  dim_segment!$B$2:$B$5, 0))</f>
        <v>SEG002</v>
      </c>
      <c r="N307" t="s">
        <v>33</v>
      </c>
      <c r="O307" s="2">
        <v>2</v>
      </c>
      <c r="P307" s="2">
        <v>200000</v>
      </c>
      <c r="Q307">
        <v>0.09</v>
      </c>
      <c r="R307" s="2">
        <v>364000</v>
      </c>
    </row>
    <row r="308" spans="1:18" x14ac:dyDescent="0.25">
      <c r="A308" t="s">
        <v>381</v>
      </c>
      <c r="B308" s="1">
        <v>45500</v>
      </c>
      <c r="C308" s="1" t="s">
        <v>92</v>
      </c>
      <c r="D308" t="s">
        <v>93</v>
      </c>
      <c r="E308" t="s">
        <v>341</v>
      </c>
      <c r="F308" t="s">
        <v>342</v>
      </c>
      <c r="G308" t="s">
        <v>343</v>
      </c>
      <c r="H308" t="s">
        <v>27</v>
      </c>
      <c r="I308" t="s">
        <v>24</v>
      </c>
      <c r="J308" t="s">
        <v>25</v>
      </c>
      <c r="K308" t="s">
        <v>26</v>
      </c>
      <c r="L308" t="s">
        <v>23</v>
      </c>
      <c r="M308" t="str">
        <f>INDEX( dim_segment!$A$2:$A$5,MATCH(L308,  dim_segment!$B$2:$B$5, 0))</f>
        <v>SEG001</v>
      </c>
      <c r="N308" t="s">
        <v>28</v>
      </c>
      <c r="O308" s="2">
        <v>4</v>
      </c>
      <c r="P308" s="2">
        <v>75000</v>
      </c>
      <c r="Q308">
        <v>0.01</v>
      </c>
      <c r="R308" s="2">
        <v>297000</v>
      </c>
    </row>
    <row r="309" spans="1:18" x14ac:dyDescent="0.25">
      <c r="A309" t="s">
        <v>382</v>
      </c>
      <c r="B309" s="1">
        <v>45493</v>
      </c>
      <c r="C309" s="1" t="s">
        <v>92</v>
      </c>
      <c r="D309" t="s">
        <v>93</v>
      </c>
      <c r="E309" t="s">
        <v>341</v>
      </c>
      <c r="F309" t="s">
        <v>342</v>
      </c>
      <c r="G309" t="s">
        <v>343</v>
      </c>
      <c r="H309" t="s">
        <v>27</v>
      </c>
      <c r="I309" t="s">
        <v>40</v>
      </c>
      <c r="J309" t="s">
        <v>41</v>
      </c>
      <c r="K309" t="s">
        <v>42</v>
      </c>
      <c r="L309" t="s">
        <v>27</v>
      </c>
      <c r="M309" t="str">
        <f>INDEX( dim_segment!$A$2:$A$5,MATCH(L309,  dim_segment!$B$2:$B$5, 0))</f>
        <v>SEG002</v>
      </c>
      <c r="N309" t="s">
        <v>37</v>
      </c>
      <c r="O309" s="2">
        <v>1</v>
      </c>
      <c r="P309" s="2">
        <v>85000</v>
      </c>
      <c r="Q309">
        <v>0.09</v>
      </c>
      <c r="R309" s="2">
        <v>77400</v>
      </c>
    </row>
    <row r="310" spans="1:18" x14ac:dyDescent="0.25">
      <c r="A310" t="s">
        <v>383</v>
      </c>
      <c r="B310" s="1">
        <v>45494</v>
      </c>
      <c r="C310" s="1" t="s">
        <v>92</v>
      </c>
      <c r="D310" t="s">
        <v>93</v>
      </c>
      <c r="E310" t="s">
        <v>341</v>
      </c>
      <c r="F310" t="s">
        <v>342</v>
      </c>
      <c r="G310" t="s">
        <v>343</v>
      </c>
      <c r="H310" t="s">
        <v>27</v>
      </c>
      <c r="I310" t="s">
        <v>47</v>
      </c>
      <c r="J310" t="s">
        <v>48</v>
      </c>
      <c r="K310" t="s">
        <v>49</v>
      </c>
      <c r="L310" t="s">
        <v>65</v>
      </c>
      <c r="M310" t="str">
        <f>INDEX( dim_segment!$A$2:$A$5,MATCH(L310,  dim_segment!$B$2:$B$5, 0))</f>
        <v>SEG003</v>
      </c>
      <c r="N310" t="s">
        <v>54</v>
      </c>
      <c r="O310" s="2">
        <v>5</v>
      </c>
      <c r="P310" s="2">
        <v>200000</v>
      </c>
      <c r="Q310">
        <v>0.12</v>
      </c>
      <c r="R310" s="2">
        <v>880000</v>
      </c>
    </row>
    <row r="311" spans="1:18" x14ac:dyDescent="0.25">
      <c r="A311" t="s">
        <v>384</v>
      </c>
      <c r="B311" s="1">
        <v>45481</v>
      </c>
      <c r="C311" s="1" t="s">
        <v>92</v>
      </c>
      <c r="D311" t="s">
        <v>93</v>
      </c>
      <c r="E311" t="s">
        <v>341</v>
      </c>
      <c r="F311" t="s">
        <v>342</v>
      </c>
      <c r="G311" t="s">
        <v>343</v>
      </c>
      <c r="H311" t="s">
        <v>27</v>
      </c>
      <c r="I311" t="s">
        <v>47</v>
      </c>
      <c r="J311" t="s">
        <v>48</v>
      </c>
      <c r="K311" t="s">
        <v>49</v>
      </c>
      <c r="L311" t="s">
        <v>27</v>
      </c>
      <c r="M311" t="str">
        <f>INDEX( dim_segment!$A$2:$A$5,MATCH(L311,  dim_segment!$B$2:$B$5, 0))</f>
        <v>SEG002</v>
      </c>
      <c r="N311" t="s">
        <v>54</v>
      </c>
      <c r="O311" s="2">
        <v>1</v>
      </c>
      <c r="P311" s="2">
        <v>200000</v>
      </c>
      <c r="Q311">
        <v>0.02</v>
      </c>
      <c r="R311" s="2">
        <v>196000</v>
      </c>
    </row>
    <row r="312" spans="1:18" x14ac:dyDescent="0.25">
      <c r="A312" t="s">
        <v>385</v>
      </c>
      <c r="B312" s="1">
        <v>45526</v>
      </c>
      <c r="C312" s="1" t="s">
        <v>102</v>
      </c>
      <c r="D312" t="s">
        <v>93</v>
      </c>
      <c r="E312" t="s">
        <v>341</v>
      </c>
      <c r="F312" t="s">
        <v>342</v>
      </c>
      <c r="G312" t="s">
        <v>343</v>
      </c>
      <c r="H312" t="s">
        <v>27</v>
      </c>
      <c r="I312" t="s">
        <v>51</v>
      </c>
      <c r="J312" t="s">
        <v>52</v>
      </c>
      <c r="K312" t="s">
        <v>42</v>
      </c>
      <c r="L312" t="s">
        <v>43</v>
      </c>
      <c r="M312" t="str">
        <f>INDEX( dim_segment!$A$2:$A$5,MATCH(L312,  dim_segment!$B$2:$B$5, 0))</f>
        <v>SEG004</v>
      </c>
      <c r="N312" t="s">
        <v>28</v>
      </c>
      <c r="O312" s="2">
        <v>3</v>
      </c>
      <c r="P312" s="2">
        <v>150000</v>
      </c>
      <c r="Q312">
        <v>0.06</v>
      </c>
      <c r="R312" s="2">
        <v>423000</v>
      </c>
    </row>
    <row r="313" spans="1:18" x14ac:dyDescent="0.25">
      <c r="A313" t="s">
        <v>386</v>
      </c>
      <c r="B313" s="1">
        <v>45511</v>
      </c>
      <c r="C313" s="1" t="s">
        <v>102</v>
      </c>
      <c r="D313" t="s">
        <v>93</v>
      </c>
      <c r="E313" t="s">
        <v>341</v>
      </c>
      <c r="F313" t="s">
        <v>342</v>
      </c>
      <c r="G313" t="s">
        <v>343</v>
      </c>
      <c r="H313" t="s">
        <v>27</v>
      </c>
      <c r="I313" t="s">
        <v>24</v>
      </c>
      <c r="J313" t="s">
        <v>25</v>
      </c>
      <c r="K313" t="s">
        <v>26</v>
      </c>
      <c r="L313" t="s">
        <v>65</v>
      </c>
      <c r="M313" t="str">
        <f>INDEX( dim_segment!$A$2:$A$5,MATCH(L313,  dim_segment!$B$2:$B$5, 0))</f>
        <v>SEG003</v>
      </c>
      <c r="N313" t="s">
        <v>37</v>
      </c>
      <c r="O313" s="2">
        <v>4</v>
      </c>
      <c r="P313" s="2">
        <v>75000</v>
      </c>
      <c r="Q313">
        <v>0.1</v>
      </c>
      <c r="R313" s="2">
        <v>270000</v>
      </c>
    </row>
    <row r="314" spans="1:18" x14ac:dyDescent="0.25">
      <c r="A314" t="s">
        <v>387</v>
      </c>
      <c r="B314" s="1">
        <v>45511</v>
      </c>
      <c r="C314" s="1" t="s">
        <v>102</v>
      </c>
      <c r="D314" t="s">
        <v>93</v>
      </c>
      <c r="E314" t="s">
        <v>341</v>
      </c>
      <c r="F314" t="s">
        <v>342</v>
      </c>
      <c r="G314" t="s">
        <v>343</v>
      </c>
      <c r="H314" t="s">
        <v>27</v>
      </c>
      <c r="I314" t="s">
        <v>40</v>
      </c>
      <c r="J314" t="s">
        <v>41</v>
      </c>
      <c r="K314" t="s">
        <v>42</v>
      </c>
      <c r="L314" t="s">
        <v>43</v>
      </c>
      <c r="M314" t="str">
        <f>INDEX( dim_segment!$A$2:$A$5,MATCH(L314,  dim_segment!$B$2:$B$5, 0))</f>
        <v>SEG004</v>
      </c>
      <c r="N314" t="s">
        <v>33</v>
      </c>
      <c r="O314" s="2">
        <v>1</v>
      </c>
      <c r="P314" s="2">
        <v>85000</v>
      </c>
      <c r="Q314">
        <v>0.1</v>
      </c>
      <c r="R314" s="2">
        <v>76500</v>
      </c>
    </row>
    <row r="315" spans="1:18" x14ac:dyDescent="0.25">
      <c r="A315" t="s">
        <v>388</v>
      </c>
      <c r="B315" s="1">
        <v>45528</v>
      </c>
      <c r="C315" s="1" t="s">
        <v>102</v>
      </c>
      <c r="D315" t="s">
        <v>93</v>
      </c>
      <c r="E315" t="s">
        <v>341</v>
      </c>
      <c r="F315" t="s">
        <v>342</v>
      </c>
      <c r="G315" t="s">
        <v>343</v>
      </c>
      <c r="H315" t="s">
        <v>27</v>
      </c>
      <c r="I315" t="s">
        <v>47</v>
      </c>
      <c r="J315" t="s">
        <v>48</v>
      </c>
      <c r="K315" t="s">
        <v>49</v>
      </c>
      <c r="L315" t="s">
        <v>43</v>
      </c>
      <c r="M315" t="str">
        <f>INDEX( dim_segment!$A$2:$A$5,MATCH(L315,  dim_segment!$B$2:$B$5, 0))</f>
        <v>SEG004</v>
      </c>
      <c r="N315" t="s">
        <v>33</v>
      </c>
      <c r="O315" s="2">
        <v>1</v>
      </c>
      <c r="P315" s="2">
        <v>200000</v>
      </c>
      <c r="Q315">
        <v>0.08</v>
      </c>
      <c r="R315" s="2">
        <v>184000</v>
      </c>
    </row>
    <row r="316" spans="1:18" x14ac:dyDescent="0.25">
      <c r="A316" t="s">
        <v>389</v>
      </c>
      <c r="B316" s="1">
        <v>45516</v>
      </c>
      <c r="C316" s="1" t="s">
        <v>102</v>
      </c>
      <c r="D316" t="s">
        <v>93</v>
      </c>
      <c r="E316" t="s">
        <v>341</v>
      </c>
      <c r="F316" t="s">
        <v>342</v>
      </c>
      <c r="G316" t="s">
        <v>343</v>
      </c>
      <c r="H316" t="s">
        <v>27</v>
      </c>
      <c r="I316" t="s">
        <v>51</v>
      </c>
      <c r="J316" t="s">
        <v>52</v>
      </c>
      <c r="K316" t="s">
        <v>42</v>
      </c>
      <c r="L316" t="s">
        <v>23</v>
      </c>
      <c r="M316" t="str">
        <f>INDEX( dim_segment!$A$2:$A$5,MATCH(L316,  dim_segment!$B$2:$B$5, 0))</f>
        <v>SEG001</v>
      </c>
      <c r="N316" t="s">
        <v>33</v>
      </c>
      <c r="O316" s="2">
        <v>3</v>
      </c>
      <c r="P316" s="2">
        <v>150000</v>
      </c>
      <c r="Q316">
        <v>0.1</v>
      </c>
      <c r="R316" s="2">
        <v>405000</v>
      </c>
    </row>
    <row r="317" spans="1:18" x14ac:dyDescent="0.25">
      <c r="A317" t="s">
        <v>390</v>
      </c>
      <c r="B317" s="1">
        <v>45546</v>
      </c>
      <c r="C317" s="1" t="s">
        <v>106</v>
      </c>
      <c r="D317" t="s">
        <v>93</v>
      </c>
      <c r="E317" t="s">
        <v>341</v>
      </c>
      <c r="F317" t="s">
        <v>342</v>
      </c>
      <c r="G317" t="s">
        <v>343</v>
      </c>
      <c r="H317" t="s">
        <v>27</v>
      </c>
      <c r="I317" t="s">
        <v>60</v>
      </c>
      <c r="J317" t="s">
        <v>61</v>
      </c>
      <c r="K317" t="s">
        <v>26</v>
      </c>
      <c r="L317" t="s">
        <v>23</v>
      </c>
      <c r="M317" t="str">
        <f>INDEX( dim_segment!$A$2:$A$5,MATCH(L317,  dim_segment!$B$2:$B$5, 0))</f>
        <v>SEG001</v>
      </c>
      <c r="N317" t="s">
        <v>28</v>
      </c>
      <c r="O317" s="2">
        <v>2</v>
      </c>
      <c r="P317" s="2">
        <v>95000</v>
      </c>
      <c r="Q317">
        <v>0.03</v>
      </c>
      <c r="R317" s="2">
        <v>184300</v>
      </c>
    </row>
    <row r="318" spans="1:18" x14ac:dyDescent="0.25">
      <c r="A318" t="s">
        <v>391</v>
      </c>
      <c r="B318" s="1">
        <v>45548</v>
      </c>
      <c r="C318" s="1" t="s">
        <v>106</v>
      </c>
      <c r="D318" t="s">
        <v>93</v>
      </c>
      <c r="E318" t="s">
        <v>341</v>
      </c>
      <c r="F318" t="s">
        <v>342</v>
      </c>
      <c r="G318" t="s">
        <v>343</v>
      </c>
      <c r="H318" t="s">
        <v>27</v>
      </c>
      <c r="I318" t="s">
        <v>75</v>
      </c>
      <c r="J318" t="s">
        <v>76</v>
      </c>
      <c r="K318" t="s">
        <v>49</v>
      </c>
      <c r="L318" t="s">
        <v>43</v>
      </c>
      <c r="M318" t="str">
        <f>INDEX( dim_segment!$A$2:$A$5,MATCH(L318,  dim_segment!$B$2:$B$5, 0))</f>
        <v>SEG004</v>
      </c>
      <c r="N318" t="s">
        <v>28</v>
      </c>
      <c r="O318" s="2">
        <v>3</v>
      </c>
      <c r="P318" s="2">
        <v>120000</v>
      </c>
      <c r="Q318">
        <v>7.0000000000000007E-2</v>
      </c>
      <c r="R318" s="2">
        <v>334800</v>
      </c>
    </row>
    <row r="319" spans="1:18" x14ac:dyDescent="0.25">
      <c r="A319" t="s">
        <v>392</v>
      </c>
      <c r="B319" s="1">
        <v>45538</v>
      </c>
      <c r="C319" s="1" t="s">
        <v>106</v>
      </c>
      <c r="D319" t="s">
        <v>93</v>
      </c>
      <c r="E319" t="s">
        <v>341</v>
      </c>
      <c r="F319" t="s">
        <v>342</v>
      </c>
      <c r="G319" t="s">
        <v>343</v>
      </c>
      <c r="H319" t="s">
        <v>27</v>
      </c>
      <c r="I319" t="s">
        <v>35</v>
      </c>
      <c r="J319" t="s">
        <v>36</v>
      </c>
      <c r="K319" t="s">
        <v>32</v>
      </c>
      <c r="L319" t="s">
        <v>65</v>
      </c>
      <c r="M319" t="str">
        <f>INDEX( dim_segment!$A$2:$A$5,MATCH(L319,  dim_segment!$B$2:$B$5, 0))</f>
        <v>SEG003</v>
      </c>
      <c r="N319" t="s">
        <v>33</v>
      </c>
      <c r="O319" s="2">
        <v>4</v>
      </c>
      <c r="P319" s="2">
        <v>45000</v>
      </c>
      <c r="Q319">
        <v>0.08</v>
      </c>
      <c r="R319" s="2">
        <v>165600</v>
      </c>
    </row>
    <row r="320" spans="1:18" x14ac:dyDescent="0.25">
      <c r="A320" t="s">
        <v>393</v>
      </c>
      <c r="B320" s="1">
        <v>45547</v>
      </c>
      <c r="C320" s="1" t="s">
        <v>106</v>
      </c>
      <c r="D320" t="s">
        <v>93</v>
      </c>
      <c r="E320" t="s">
        <v>341</v>
      </c>
      <c r="F320" t="s">
        <v>342</v>
      </c>
      <c r="G320" t="s">
        <v>343</v>
      </c>
      <c r="H320" t="s">
        <v>27</v>
      </c>
      <c r="I320" t="s">
        <v>60</v>
      </c>
      <c r="J320" t="s">
        <v>61</v>
      </c>
      <c r="K320" t="s">
        <v>26</v>
      </c>
      <c r="L320" t="s">
        <v>65</v>
      </c>
      <c r="M320" t="str">
        <f>INDEX( dim_segment!$A$2:$A$5,MATCH(L320,  dim_segment!$B$2:$B$5, 0))</f>
        <v>SEG003</v>
      </c>
      <c r="N320" t="s">
        <v>33</v>
      </c>
      <c r="O320" s="2">
        <v>2</v>
      </c>
      <c r="P320" s="2">
        <v>95000</v>
      </c>
      <c r="Q320">
        <v>0.06</v>
      </c>
      <c r="R320" s="2">
        <v>178600</v>
      </c>
    </row>
    <row r="321" spans="1:18" x14ac:dyDescent="0.25">
      <c r="A321" t="s">
        <v>394</v>
      </c>
      <c r="B321" s="1">
        <v>45557</v>
      </c>
      <c r="C321" s="1" t="s">
        <v>106</v>
      </c>
      <c r="D321" t="s">
        <v>93</v>
      </c>
      <c r="E321" t="s">
        <v>341</v>
      </c>
      <c r="F321" t="s">
        <v>342</v>
      </c>
      <c r="G321" t="s">
        <v>343</v>
      </c>
      <c r="H321" t="s">
        <v>27</v>
      </c>
      <c r="I321" t="s">
        <v>30</v>
      </c>
      <c r="J321" t="s">
        <v>31</v>
      </c>
      <c r="K321" t="s">
        <v>32</v>
      </c>
      <c r="L321" t="s">
        <v>65</v>
      </c>
      <c r="M321" t="str">
        <f>INDEX( dim_segment!$A$2:$A$5,MATCH(L321,  dim_segment!$B$2:$B$5, 0))</f>
        <v>SEG003</v>
      </c>
      <c r="N321" t="s">
        <v>28</v>
      </c>
      <c r="O321" s="2">
        <v>1</v>
      </c>
      <c r="P321" s="2">
        <v>60000</v>
      </c>
      <c r="Q321">
        <v>0.02</v>
      </c>
      <c r="R321" s="2">
        <v>58800</v>
      </c>
    </row>
    <row r="322" spans="1:18" x14ac:dyDescent="0.25">
      <c r="A322" t="s">
        <v>395</v>
      </c>
      <c r="B322" s="1">
        <v>45568</v>
      </c>
      <c r="C322" s="1" t="s">
        <v>115</v>
      </c>
      <c r="D322" t="s">
        <v>116</v>
      </c>
      <c r="E322" t="s">
        <v>341</v>
      </c>
      <c r="F322" t="s">
        <v>342</v>
      </c>
      <c r="G322" t="s">
        <v>343</v>
      </c>
      <c r="H322" t="s">
        <v>27</v>
      </c>
      <c r="I322" t="s">
        <v>24</v>
      </c>
      <c r="J322" t="s">
        <v>25</v>
      </c>
      <c r="K322" t="s">
        <v>26</v>
      </c>
      <c r="L322" t="s">
        <v>65</v>
      </c>
      <c r="M322" t="str">
        <f>INDEX( dim_segment!$A$2:$A$5,MATCH(L322,  dim_segment!$B$2:$B$5, 0))</f>
        <v>SEG003</v>
      </c>
      <c r="N322" t="s">
        <v>37</v>
      </c>
      <c r="O322" s="2">
        <v>1</v>
      </c>
      <c r="P322" s="2">
        <v>75000</v>
      </c>
      <c r="Q322">
        <v>0.1</v>
      </c>
      <c r="R322" s="2">
        <v>67500</v>
      </c>
    </row>
    <row r="323" spans="1:18" x14ac:dyDescent="0.25">
      <c r="A323" t="s">
        <v>396</v>
      </c>
      <c r="B323" s="1">
        <v>45570</v>
      </c>
      <c r="C323" s="1" t="s">
        <v>115</v>
      </c>
      <c r="D323" t="s">
        <v>116</v>
      </c>
      <c r="E323" t="s">
        <v>341</v>
      </c>
      <c r="F323" t="s">
        <v>342</v>
      </c>
      <c r="G323" t="s">
        <v>343</v>
      </c>
      <c r="H323" t="s">
        <v>27</v>
      </c>
      <c r="I323" t="s">
        <v>40</v>
      </c>
      <c r="J323" t="s">
        <v>41</v>
      </c>
      <c r="K323" t="s">
        <v>42</v>
      </c>
      <c r="L323" t="s">
        <v>65</v>
      </c>
      <c r="M323" t="str">
        <f>INDEX( dim_segment!$A$2:$A$5,MATCH(L323,  dim_segment!$B$2:$B$5, 0))</f>
        <v>SEG003</v>
      </c>
      <c r="N323" t="s">
        <v>37</v>
      </c>
      <c r="O323" s="2">
        <v>1</v>
      </c>
      <c r="P323" s="2">
        <v>85000</v>
      </c>
      <c r="Q323">
        <v>0.1</v>
      </c>
      <c r="R323" s="2">
        <v>76500</v>
      </c>
    </row>
    <row r="324" spans="1:18" x14ac:dyDescent="0.25">
      <c r="A324" t="s">
        <v>397</v>
      </c>
      <c r="B324" s="1">
        <v>45585</v>
      </c>
      <c r="C324" s="1" t="s">
        <v>115</v>
      </c>
      <c r="D324" t="s">
        <v>116</v>
      </c>
      <c r="E324" t="s">
        <v>341</v>
      </c>
      <c r="F324" t="s">
        <v>342</v>
      </c>
      <c r="G324" t="s">
        <v>343</v>
      </c>
      <c r="H324" t="s">
        <v>27</v>
      </c>
      <c r="I324" t="s">
        <v>60</v>
      </c>
      <c r="J324" t="s">
        <v>61</v>
      </c>
      <c r="K324" t="s">
        <v>26</v>
      </c>
      <c r="L324" t="s">
        <v>65</v>
      </c>
      <c r="M324" t="str">
        <f>INDEX( dim_segment!$A$2:$A$5,MATCH(L324,  dim_segment!$B$2:$B$5, 0))</f>
        <v>SEG003</v>
      </c>
      <c r="N324" t="s">
        <v>28</v>
      </c>
      <c r="O324" s="2">
        <v>1</v>
      </c>
      <c r="P324" s="2">
        <v>95000</v>
      </c>
      <c r="Q324">
        <v>0.05</v>
      </c>
      <c r="R324" s="2">
        <v>90200</v>
      </c>
    </row>
    <row r="325" spans="1:18" x14ac:dyDescent="0.25">
      <c r="A325" t="s">
        <v>398</v>
      </c>
      <c r="B325" s="1">
        <v>45570</v>
      </c>
      <c r="C325" s="1" t="s">
        <v>115</v>
      </c>
      <c r="D325" t="s">
        <v>116</v>
      </c>
      <c r="E325" t="s">
        <v>341</v>
      </c>
      <c r="F325" t="s">
        <v>342</v>
      </c>
      <c r="G325" t="s">
        <v>343</v>
      </c>
      <c r="H325" t="s">
        <v>27</v>
      </c>
      <c r="I325" t="s">
        <v>24</v>
      </c>
      <c r="J325" t="s">
        <v>25</v>
      </c>
      <c r="K325" t="s">
        <v>26</v>
      </c>
      <c r="L325" t="s">
        <v>23</v>
      </c>
      <c r="M325" t="str">
        <f>INDEX( dim_segment!$A$2:$A$5,MATCH(L325,  dim_segment!$B$2:$B$5, 0))</f>
        <v>SEG001</v>
      </c>
      <c r="N325" t="s">
        <v>37</v>
      </c>
      <c r="O325" s="2">
        <v>5</v>
      </c>
      <c r="P325" s="2">
        <v>75000</v>
      </c>
      <c r="Q325">
        <v>0</v>
      </c>
      <c r="R325" s="2">
        <v>375000</v>
      </c>
    </row>
    <row r="326" spans="1:18" x14ac:dyDescent="0.25">
      <c r="A326" t="s">
        <v>399</v>
      </c>
      <c r="B326" s="1">
        <v>45598</v>
      </c>
      <c r="C326" s="1" t="s">
        <v>125</v>
      </c>
      <c r="D326" t="s">
        <v>116</v>
      </c>
      <c r="E326" t="s">
        <v>341</v>
      </c>
      <c r="F326" t="s">
        <v>342</v>
      </c>
      <c r="G326" t="s">
        <v>343</v>
      </c>
      <c r="H326" t="s">
        <v>27</v>
      </c>
      <c r="I326" t="s">
        <v>60</v>
      </c>
      <c r="J326" t="s">
        <v>61</v>
      </c>
      <c r="K326" t="s">
        <v>26</v>
      </c>
      <c r="L326" t="s">
        <v>43</v>
      </c>
      <c r="M326" t="str">
        <f>INDEX( dim_segment!$A$2:$A$5,MATCH(L326,  dim_segment!$B$2:$B$5, 0))</f>
        <v>SEG004</v>
      </c>
      <c r="N326" t="s">
        <v>54</v>
      </c>
      <c r="O326" s="2">
        <v>2</v>
      </c>
      <c r="P326" s="2">
        <v>95000</v>
      </c>
      <c r="Q326">
        <v>0.01</v>
      </c>
      <c r="R326" s="2">
        <v>188100</v>
      </c>
    </row>
    <row r="327" spans="1:18" x14ac:dyDescent="0.25">
      <c r="A327" t="s">
        <v>400</v>
      </c>
      <c r="B327" s="1">
        <v>45605</v>
      </c>
      <c r="C327" s="1" t="s">
        <v>125</v>
      </c>
      <c r="D327" t="s">
        <v>116</v>
      </c>
      <c r="E327" t="s">
        <v>341</v>
      </c>
      <c r="F327" t="s">
        <v>342</v>
      </c>
      <c r="G327" t="s">
        <v>343</v>
      </c>
      <c r="H327" t="s">
        <v>27</v>
      </c>
      <c r="I327" t="s">
        <v>30</v>
      </c>
      <c r="J327" t="s">
        <v>31</v>
      </c>
      <c r="K327" t="s">
        <v>32</v>
      </c>
      <c r="L327" t="s">
        <v>23</v>
      </c>
      <c r="M327" t="str">
        <f>INDEX( dim_segment!$A$2:$A$5,MATCH(L327,  dim_segment!$B$2:$B$5, 0))</f>
        <v>SEG001</v>
      </c>
      <c r="N327" t="s">
        <v>54</v>
      </c>
      <c r="O327" s="2">
        <v>5</v>
      </c>
      <c r="P327" s="2">
        <v>60000</v>
      </c>
      <c r="Q327">
        <v>0.08</v>
      </c>
      <c r="R327" s="2">
        <v>276000</v>
      </c>
    </row>
    <row r="328" spans="1:18" x14ac:dyDescent="0.25">
      <c r="A328" t="s">
        <v>401</v>
      </c>
      <c r="B328" s="1">
        <v>45614</v>
      </c>
      <c r="C328" s="1" t="s">
        <v>125</v>
      </c>
      <c r="D328" t="s">
        <v>116</v>
      </c>
      <c r="E328" t="s">
        <v>341</v>
      </c>
      <c r="F328" t="s">
        <v>342</v>
      </c>
      <c r="G328" t="s">
        <v>343</v>
      </c>
      <c r="H328" t="s">
        <v>27</v>
      </c>
      <c r="I328" t="s">
        <v>40</v>
      </c>
      <c r="J328" t="s">
        <v>41</v>
      </c>
      <c r="K328" t="s">
        <v>42</v>
      </c>
      <c r="L328" t="s">
        <v>27</v>
      </c>
      <c r="M328" t="str">
        <f>INDEX( dim_segment!$A$2:$A$5,MATCH(L328,  dim_segment!$B$2:$B$5, 0))</f>
        <v>SEG002</v>
      </c>
      <c r="N328" t="s">
        <v>28</v>
      </c>
      <c r="O328" s="2">
        <v>3</v>
      </c>
      <c r="P328" s="2">
        <v>85000</v>
      </c>
      <c r="Q328">
        <v>0.04</v>
      </c>
      <c r="R328" s="2">
        <v>244800</v>
      </c>
    </row>
    <row r="329" spans="1:18" x14ac:dyDescent="0.25">
      <c r="A329" t="s">
        <v>402</v>
      </c>
      <c r="B329" s="1">
        <v>45615</v>
      </c>
      <c r="C329" s="1" t="s">
        <v>125</v>
      </c>
      <c r="D329" t="s">
        <v>116</v>
      </c>
      <c r="E329" t="s">
        <v>341</v>
      </c>
      <c r="F329" t="s">
        <v>342</v>
      </c>
      <c r="G329" t="s">
        <v>343</v>
      </c>
      <c r="H329" t="s">
        <v>27</v>
      </c>
      <c r="I329" t="s">
        <v>75</v>
      </c>
      <c r="J329" t="s">
        <v>76</v>
      </c>
      <c r="K329" t="s">
        <v>49</v>
      </c>
      <c r="L329" t="s">
        <v>23</v>
      </c>
      <c r="M329" t="str">
        <f>INDEX( dim_segment!$A$2:$A$5,MATCH(L329,  dim_segment!$B$2:$B$5, 0))</f>
        <v>SEG001</v>
      </c>
      <c r="N329" t="s">
        <v>37</v>
      </c>
      <c r="O329" s="2">
        <v>2</v>
      </c>
      <c r="P329" s="2">
        <v>120000</v>
      </c>
      <c r="Q329">
        <v>0.09</v>
      </c>
      <c r="R329" s="2">
        <v>218400</v>
      </c>
    </row>
    <row r="330" spans="1:18" x14ac:dyDescent="0.25">
      <c r="A330" t="s">
        <v>403</v>
      </c>
      <c r="B330" s="1">
        <v>45597</v>
      </c>
      <c r="C330" s="1" t="s">
        <v>125</v>
      </c>
      <c r="D330" t="s">
        <v>116</v>
      </c>
      <c r="E330" t="s">
        <v>341</v>
      </c>
      <c r="F330" t="s">
        <v>342</v>
      </c>
      <c r="G330" t="s">
        <v>343</v>
      </c>
      <c r="H330" t="s">
        <v>27</v>
      </c>
      <c r="I330" t="s">
        <v>60</v>
      </c>
      <c r="J330" t="s">
        <v>61</v>
      </c>
      <c r="K330" t="s">
        <v>26</v>
      </c>
      <c r="L330" t="s">
        <v>27</v>
      </c>
      <c r="M330" t="str">
        <f>INDEX( dim_segment!$A$2:$A$5,MATCH(L330,  dim_segment!$B$2:$B$5, 0))</f>
        <v>SEG002</v>
      </c>
      <c r="N330" t="s">
        <v>54</v>
      </c>
      <c r="O330" s="2">
        <v>5</v>
      </c>
      <c r="P330" s="2">
        <v>95000</v>
      </c>
      <c r="Q330">
        <v>0.11</v>
      </c>
      <c r="R330" s="2">
        <v>422800</v>
      </c>
    </row>
    <row r="331" spans="1:18" x14ac:dyDescent="0.25">
      <c r="A331" t="s">
        <v>404</v>
      </c>
      <c r="B331" s="1">
        <v>45649</v>
      </c>
      <c r="C331" s="1" t="s">
        <v>134</v>
      </c>
      <c r="D331" t="s">
        <v>116</v>
      </c>
      <c r="E331" t="s">
        <v>341</v>
      </c>
      <c r="F331" t="s">
        <v>342</v>
      </c>
      <c r="G331" t="s">
        <v>343</v>
      </c>
      <c r="H331" t="s">
        <v>27</v>
      </c>
      <c r="I331" t="s">
        <v>30</v>
      </c>
      <c r="J331" t="s">
        <v>31</v>
      </c>
      <c r="K331" t="s">
        <v>32</v>
      </c>
      <c r="L331" t="s">
        <v>23</v>
      </c>
      <c r="M331" t="str">
        <f>INDEX( dim_segment!$A$2:$A$5,MATCH(L331,  dim_segment!$B$2:$B$5, 0))</f>
        <v>SEG001</v>
      </c>
      <c r="N331" t="s">
        <v>28</v>
      </c>
      <c r="O331" s="2">
        <v>1</v>
      </c>
      <c r="P331" s="2">
        <v>60000</v>
      </c>
      <c r="Q331">
        <v>0.04</v>
      </c>
      <c r="R331" s="2">
        <v>57600</v>
      </c>
    </row>
    <row r="332" spans="1:18" x14ac:dyDescent="0.25">
      <c r="A332" t="s">
        <v>405</v>
      </c>
      <c r="B332" s="1">
        <v>45630</v>
      </c>
      <c r="C332" s="1" t="s">
        <v>134</v>
      </c>
      <c r="D332" t="s">
        <v>116</v>
      </c>
      <c r="E332" t="s">
        <v>341</v>
      </c>
      <c r="F332" t="s">
        <v>342</v>
      </c>
      <c r="G332" t="s">
        <v>343</v>
      </c>
      <c r="H332" t="s">
        <v>27</v>
      </c>
      <c r="I332" t="s">
        <v>40</v>
      </c>
      <c r="J332" t="s">
        <v>41</v>
      </c>
      <c r="K332" t="s">
        <v>42</v>
      </c>
      <c r="L332" t="s">
        <v>65</v>
      </c>
      <c r="M332" t="str">
        <f>INDEX( dim_segment!$A$2:$A$5,MATCH(L332,  dim_segment!$B$2:$B$5, 0))</f>
        <v>SEG003</v>
      </c>
      <c r="N332" t="s">
        <v>33</v>
      </c>
      <c r="O332" s="2">
        <v>4</v>
      </c>
      <c r="P332" s="2">
        <v>85000</v>
      </c>
      <c r="Q332">
        <v>0</v>
      </c>
      <c r="R332" s="2">
        <v>340000</v>
      </c>
    </row>
    <row r="333" spans="1:18" x14ac:dyDescent="0.25">
      <c r="A333" t="s">
        <v>406</v>
      </c>
      <c r="B333" s="1">
        <v>45630</v>
      </c>
      <c r="C333" s="1" t="s">
        <v>134</v>
      </c>
      <c r="D333" t="s">
        <v>116</v>
      </c>
      <c r="E333" t="s">
        <v>341</v>
      </c>
      <c r="F333" t="s">
        <v>342</v>
      </c>
      <c r="G333" t="s">
        <v>343</v>
      </c>
      <c r="H333" t="s">
        <v>27</v>
      </c>
      <c r="I333" t="s">
        <v>51</v>
      </c>
      <c r="J333" t="s">
        <v>52</v>
      </c>
      <c r="K333" t="s">
        <v>42</v>
      </c>
      <c r="L333" t="s">
        <v>23</v>
      </c>
      <c r="M333" t="str">
        <f>INDEX( dim_segment!$A$2:$A$5,MATCH(L333,  dim_segment!$B$2:$B$5, 0))</f>
        <v>SEG001</v>
      </c>
      <c r="N333" t="s">
        <v>33</v>
      </c>
      <c r="O333" s="2">
        <v>4</v>
      </c>
      <c r="P333" s="2">
        <v>150000</v>
      </c>
      <c r="Q333">
        <v>0.01</v>
      </c>
      <c r="R333" s="2">
        <v>594000</v>
      </c>
    </row>
    <row r="334" spans="1:18" x14ac:dyDescent="0.25">
      <c r="A334" t="s">
        <v>407</v>
      </c>
      <c r="B334" s="1">
        <v>45653</v>
      </c>
      <c r="C334" s="1" t="s">
        <v>134</v>
      </c>
      <c r="D334" t="s">
        <v>116</v>
      </c>
      <c r="E334" t="s">
        <v>341</v>
      </c>
      <c r="F334" t="s">
        <v>342</v>
      </c>
      <c r="G334" t="s">
        <v>343</v>
      </c>
      <c r="H334" t="s">
        <v>27</v>
      </c>
      <c r="I334" t="s">
        <v>40</v>
      </c>
      <c r="J334" t="s">
        <v>41</v>
      </c>
      <c r="K334" t="s">
        <v>42</v>
      </c>
      <c r="L334" t="s">
        <v>27</v>
      </c>
      <c r="M334" t="str">
        <f>INDEX( dim_segment!$A$2:$A$5,MATCH(L334,  dim_segment!$B$2:$B$5, 0))</f>
        <v>SEG002</v>
      </c>
      <c r="N334" t="s">
        <v>37</v>
      </c>
      <c r="O334" s="2">
        <v>4</v>
      </c>
      <c r="P334" s="2">
        <v>85000</v>
      </c>
      <c r="Q334">
        <v>0.12</v>
      </c>
      <c r="R334" s="2">
        <v>299200</v>
      </c>
    </row>
    <row r="335" spans="1:18" x14ac:dyDescent="0.25">
      <c r="A335" t="s">
        <v>408</v>
      </c>
      <c r="B335" s="1">
        <v>45627</v>
      </c>
      <c r="C335" s="1" t="s">
        <v>134</v>
      </c>
      <c r="D335" t="s">
        <v>116</v>
      </c>
      <c r="E335" t="s">
        <v>341</v>
      </c>
      <c r="F335" t="s">
        <v>342</v>
      </c>
      <c r="G335" t="s">
        <v>343</v>
      </c>
      <c r="H335" t="s">
        <v>27</v>
      </c>
      <c r="I335" t="s">
        <v>35</v>
      </c>
      <c r="J335" t="s">
        <v>36</v>
      </c>
      <c r="K335" t="s">
        <v>32</v>
      </c>
      <c r="L335" t="s">
        <v>65</v>
      </c>
      <c r="M335" t="str">
        <f>INDEX( dim_segment!$A$2:$A$5,MATCH(L335,  dim_segment!$B$2:$B$5, 0))</f>
        <v>SEG003</v>
      </c>
      <c r="N335" t="s">
        <v>28</v>
      </c>
      <c r="O335" s="2">
        <v>2</v>
      </c>
      <c r="P335" s="2">
        <v>45000</v>
      </c>
      <c r="Q335">
        <v>7.0000000000000007E-2</v>
      </c>
      <c r="R335" s="2">
        <v>83700</v>
      </c>
    </row>
    <row r="336" spans="1:18" x14ac:dyDescent="0.25">
      <c r="A336" t="s">
        <v>409</v>
      </c>
      <c r="B336" s="1">
        <v>45654</v>
      </c>
      <c r="C336" s="1" t="s">
        <v>134</v>
      </c>
      <c r="D336" t="s">
        <v>116</v>
      </c>
      <c r="E336" t="s">
        <v>341</v>
      </c>
      <c r="F336" t="s">
        <v>342</v>
      </c>
      <c r="G336" t="s">
        <v>343</v>
      </c>
      <c r="H336" t="s">
        <v>27</v>
      </c>
      <c r="I336" t="s">
        <v>30</v>
      </c>
      <c r="J336" t="s">
        <v>31</v>
      </c>
      <c r="K336" t="s">
        <v>32</v>
      </c>
      <c r="L336" t="s">
        <v>43</v>
      </c>
      <c r="M336" t="str">
        <f>INDEX( dim_segment!$A$2:$A$5,MATCH(L336,  dim_segment!$B$2:$B$5, 0))</f>
        <v>SEG004</v>
      </c>
      <c r="N336" t="s">
        <v>54</v>
      </c>
      <c r="O336" s="2">
        <v>4</v>
      </c>
      <c r="P336" s="2">
        <v>60000</v>
      </c>
      <c r="Q336">
        <v>0.12</v>
      </c>
      <c r="R336" s="2">
        <v>211200</v>
      </c>
    </row>
    <row r="337" spans="1:18" x14ac:dyDescent="0.25">
      <c r="A337" t="s">
        <v>410</v>
      </c>
      <c r="B337" s="1">
        <v>45644</v>
      </c>
      <c r="C337" s="1" t="s">
        <v>134</v>
      </c>
      <c r="D337" t="s">
        <v>116</v>
      </c>
      <c r="E337" t="s">
        <v>341</v>
      </c>
      <c r="F337" t="s">
        <v>342</v>
      </c>
      <c r="G337" t="s">
        <v>343</v>
      </c>
      <c r="H337" t="s">
        <v>27</v>
      </c>
      <c r="I337" t="s">
        <v>40</v>
      </c>
      <c r="J337" t="s">
        <v>41</v>
      </c>
      <c r="K337" t="s">
        <v>42</v>
      </c>
      <c r="L337" t="s">
        <v>27</v>
      </c>
      <c r="M337" t="str">
        <f>INDEX( dim_segment!$A$2:$A$5,MATCH(L337,  dim_segment!$B$2:$B$5, 0))</f>
        <v>SEG002</v>
      </c>
      <c r="N337" t="s">
        <v>28</v>
      </c>
      <c r="O337" s="2">
        <v>5</v>
      </c>
      <c r="P337" s="2">
        <v>85000</v>
      </c>
      <c r="Q337">
        <v>0.1</v>
      </c>
      <c r="R337" s="2">
        <v>382500</v>
      </c>
    </row>
    <row r="338" spans="1:18" x14ac:dyDescent="0.25">
      <c r="A338" t="s">
        <v>411</v>
      </c>
      <c r="B338" s="1">
        <v>45314</v>
      </c>
      <c r="C338" s="1" t="s">
        <v>18</v>
      </c>
      <c r="D338" t="s">
        <v>19</v>
      </c>
      <c r="E338" t="s">
        <v>412</v>
      </c>
      <c r="F338" t="s">
        <v>413</v>
      </c>
      <c r="G338" t="s">
        <v>414</v>
      </c>
      <c r="H338" t="s">
        <v>27</v>
      </c>
      <c r="I338" t="s">
        <v>47</v>
      </c>
      <c r="J338" t="s">
        <v>48</v>
      </c>
      <c r="K338" t="s">
        <v>49</v>
      </c>
      <c r="L338" t="s">
        <v>27</v>
      </c>
      <c r="M338" t="str">
        <f>INDEX( dim_segment!$A$2:$A$5,MATCH(L338,  dim_segment!$B$2:$B$5, 0))</f>
        <v>SEG002</v>
      </c>
      <c r="N338" t="s">
        <v>54</v>
      </c>
      <c r="O338" s="2">
        <v>4</v>
      </c>
      <c r="P338" s="2">
        <v>200000</v>
      </c>
      <c r="Q338">
        <v>0.05</v>
      </c>
      <c r="R338" s="2">
        <v>760000</v>
      </c>
    </row>
    <row r="339" spans="1:18" x14ac:dyDescent="0.25">
      <c r="A339" t="s">
        <v>415</v>
      </c>
      <c r="B339" s="1">
        <v>45294</v>
      </c>
      <c r="C339" s="1" t="s">
        <v>18</v>
      </c>
      <c r="D339" t="s">
        <v>19</v>
      </c>
      <c r="E339" t="s">
        <v>412</v>
      </c>
      <c r="F339" t="s">
        <v>413</v>
      </c>
      <c r="G339" t="s">
        <v>414</v>
      </c>
      <c r="H339" t="s">
        <v>27</v>
      </c>
      <c r="I339" t="s">
        <v>51</v>
      </c>
      <c r="J339" t="s">
        <v>52</v>
      </c>
      <c r="K339" t="s">
        <v>42</v>
      </c>
      <c r="L339" t="s">
        <v>65</v>
      </c>
      <c r="M339" t="str">
        <f>INDEX( dim_segment!$A$2:$A$5,MATCH(L339,  dim_segment!$B$2:$B$5, 0))</f>
        <v>SEG003</v>
      </c>
      <c r="N339" t="s">
        <v>28</v>
      </c>
      <c r="O339" s="2">
        <v>5</v>
      </c>
      <c r="P339" s="2">
        <v>150000</v>
      </c>
      <c r="Q339">
        <v>0.11</v>
      </c>
      <c r="R339" s="2">
        <v>667500</v>
      </c>
    </row>
    <row r="340" spans="1:18" x14ac:dyDescent="0.25">
      <c r="A340" t="s">
        <v>416</v>
      </c>
      <c r="B340" s="1">
        <v>45301</v>
      </c>
      <c r="C340" s="1" t="s">
        <v>18</v>
      </c>
      <c r="D340" t="s">
        <v>19</v>
      </c>
      <c r="E340" t="s">
        <v>412</v>
      </c>
      <c r="F340" t="s">
        <v>413</v>
      </c>
      <c r="G340" t="s">
        <v>414</v>
      </c>
      <c r="H340" t="s">
        <v>27</v>
      </c>
      <c r="I340" t="s">
        <v>47</v>
      </c>
      <c r="J340" t="s">
        <v>48</v>
      </c>
      <c r="K340" t="s">
        <v>49</v>
      </c>
      <c r="L340" t="s">
        <v>23</v>
      </c>
      <c r="M340" t="str">
        <f>INDEX( dim_segment!$A$2:$A$5,MATCH(L340,  dim_segment!$B$2:$B$5, 0))</f>
        <v>SEG001</v>
      </c>
      <c r="N340" t="s">
        <v>28</v>
      </c>
      <c r="O340" s="2">
        <v>5</v>
      </c>
      <c r="P340" s="2">
        <v>200000</v>
      </c>
      <c r="Q340">
        <v>0.04</v>
      </c>
      <c r="R340" s="2">
        <v>960000</v>
      </c>
    </row>
    <row r="341" spans="1:18" x14ac:dyDescent="0.25">
      <c r="A341" t="s">
        <v>417</v>
      </c>
      <c r="B341" s="1">
        <v>45310</v>
      </c>
      <c r="C341" s="1" t="s">
        <v>18</v>
      </c>
      <c r="D341" t="s">
        <v>19</v>
      </c>
      <c r="E341" t="s">
        <v>412</v>
      </c>
      <c r="F341" t="s">
        <v>413</v>
      </c>
      <c r="G341" t="s">
        <v>414</v>
      </c>
      <c r="H341" t="s">
        <v>27</v>
      </c>
      <c r="I341" t="s">
        <v>35</v>
      </c>
      <c r="J341" t="s">
        <v>36</v>
      </c>
      <c r="K341" t="s">
        <v>32</v>
      </c>
      <c r="L341" t="s">
        <v>65</v>
      </c>
      <c r="M341" t="str">
        <f>INDEX( dim_segment!$A$2:$A$5,MATCH(L341,  dim_segment!$B$2:$B$5, 0))</f>
        <v>SEG003</v>
      </c>
      <c r="N341" t="s">
        <v>28</v>
      </c>
      <c r="O341" s="2">
        <v>1</v>
      </c>
      <c r="P341" s="2">
        <v>45000</v>
      </c>
      <c r="Q341">
        <v>0.08</v>
      </c>
      <c r="R341" s="2">
        <v>41400</v>
      </c>
    </row>
    <row r="342" spans="1:18" x14ac:dyDescent="0.25">
      <c r="A342" t="s">
        <v>418</v>
      </c>
      <c r="B342" s="1">
        <v>45318</v>
      </c>
      <c r="C342" s="1" t="s">
        <v>18</v>
      </c>
      <c r="D342" t="s">
        <v>19</v>
      </c>
      <c r="E342" t="s">
        <v>412</v>
      </c>
      <c r="F342" t="s">
        <v>413</v>
      </c>
      <c r="G342" t="s">
        <v>414</v>
      </c>
      <c r="H342" t="s">
        <v>27</v>
      </c>
      <c r="I342" t="s">
        <v>40</v>
      </c>
      <c r="J342" t="s">
        <v>41</v>
      </c>
      <c r="K342" t="s">
        <v>42</v>
      </c>
      <c r="L342" t="s">
        <v>43</v>
      </c>
      <c r="M342" t="str">
        <f>INDEX( dim_segment!$A$2:$A$5,MATCH(L342,  dim_segment!$B$2:$B$5, 0))</f>
        <v>SEG004</v>
      </c>
      <c r="N342" t="s">
        <v>37</v>
      </c>
      <c r="O342" s="2">
        <v>2</v>
      </c>
      <c r="P342" s="2">
        <v>85000</v>
      </c>
      <c r="Q342">
        <v>0.05</v>
      </c>
      <c r="R342" s="2">
        <v>161500</v>
      </c>
    </row>
    <row r="343" spans="1:18" x14ac:dyDescent="0.25">
      <c r="A343" t="s">
        <v>419</v>
      </c>
      <c r="B343" s="1">
        <v>45331</v>
      </c>
      <c r="C343" s="1" t="s">
        <v>46</v>
      </c>
      <c r="D343" t="s">
        <v>19</v>
      </c>
      <c r="E343" t="s">
        <v>412</v>
      </c>
      <c r="F343" t="s">
        <v>413</v>
      </c>
      <c r="G343" t="s">
        <v>414</v>
      </c>
      <c r="H343" t="s">
        <v>27</v>
      </c>
      <c r="I343" t="s">
        <v>47</v>
      </c>
      <c r="J343" t="s">
        <v>48</v>
      </c>
      <c r="K343" t="s">
        <v>49</v>
      </c>
      <c r="L343" t="s">
        <v>43</v>
      </c>
      <c r="M343" t="str">
        <f>INDEX( dim_segment!$A$2:$A$5,MATCH(L343,  dim_segment!$B$2:$B$5, 0))</f>
        <v>SEG004</v>
      </c>
      <c r="N343" t="s">
        <v>33</v>
      </c>
      <c r="O343" s="2">
        <v>3</v>
      </c>
      <c r="P343" s="2">
        <v>200000</v>
      </c>
      <c r="Q343">
        <v>0.06</v>
      </c>
      <c r="R343" s="2">
        <v>564000</v>
      </c>
    </row>
    <row r="344" spans="1:18" x14ac:dyDescent="0.25">
      <c r="A344" t="s">
        <v>420</v>
      </c>
      <c r="B344" s="1">
        <v>45330</v>
      </c>
      <c r="C344" s="1" t="s">
        <v>46</v>
      </c>
      <c r="D344" t="s">
        <v>19</v>
      </c>
      <c r="E344" t="s">
        <v>412</v>
      </c>
      <c r="F344" t="s">
        <v>413</v>
      </c>
      <c r="G344" t="s">
        <v>414</v>
      </c>
      <c r="H344" t="s">
        <v>27</v>
      </c>
      <c r="I344" t="s">
        <v>47</v>
      </c>
      <c r="J344" t="s">
        <v>48</v>
      </c>
      <c r="K344" t="s">
        <v>49</v>
      </c>
      <c r="L344" t="s">
        <v>65</v>
      </c>
      <c r="M344" t="str">
        <f>INDEX( dim_segment!$A$2:$A$5,MATCH(L344,  dim_segment!$B$2:$B$5, 0))</f>
        <v>SEG003</v>
      </c>
      <c r="N344" t="s">
        <v>33</v>
      </c>
      <c r="O344" s="2">
        <v>3</v>
      </c>
      <c r="P344" s="2">
        <v>200000</v>
      </c>
      <c r="Q344">
        <v>7.0000000000000007E-2</v>
      </c>
      <c r="R344" s="2">
        <v>558000</v>
      </c>
    </row>
    <row r="345" spans="1:18" x14ac:dyDescent="0.25">
      <c r="A345" t="s">
        <v>421</v>
      </c>
      <c r="B345" s="1">
        <v>45350</v>
      </c>
      <c r="C345" s="1" t="s">
        <v>46</v>
      </c>
      <c r="D345" t="s">
        <v>19</v>
      </c>
      <c r="E345" t="s">
        <v>412</v>
      </c>
      <c r="F345" t="s">
        <v>413</v>
      </c>
      <c r="G345" t="s">
        <v>414</v>
      </c>
      <c r="H345" t="s">
        <v>27</v>
      </c>
      <c r="I345" t="s">
        <v>51</v>
      </c>
      <c r="J345" t="s">
        <v>52</v>
      </c>
      <c r="K345" t="s">
        <v>42</v>
      </c>
      <c r="L345" t="s">
        <v>43</v>
      </c>
      <c r="M345" t="str">
        <f>INDEX( dim_segment!$A$2:$A$5,MATCH(L345,  dim_segment!$B$2:$B$5, 0))</f>
        <v>SEG004</v>
      </c>
      <c r="N345" t="s">
        <v>54</v>
      </c>
      <c r="O345" s="2">
        <v>4</v>
      </c>
      <c r="P345" s="2">
        <v>150000</v>
      </c>
      <c r="Q345">
        <v>0.03</v>
      </c>
      <c r="R345" s="2">
        <v>582000</v>
      </c>
    </row>
    <row r="346" spans="1:18" x14ac:dyDescent="0.25">
      <c r="A346" t="s">
        <v>422</v>
      </c>
      <c r="B346" s="1">
        <v>45340</v>
      </c>
      <c r="C346" s="1" t="s">
        <v>46</v>
      </c>
      <c r="D346" t="s">
        <v>19</v>
      </c>
      <c r="E346" t="s">
        <v>412</v>
      </c>
      <c r="F346" t="s">
        <v>413</v>
      </c>
      <c r="G346" t="s">
        <v>414</v>
      </c>
      <c r="H346" t="s">
        <v>27</v>
      </c>
      <c r="I346" t="s">
        <v>30</v>
      </c>
      <c r="J346" t="s">
        <v>31</v>
      </c>
      <c r="K346" t="s">
        <v>32</v>
      </c>
      <c r="L346" t="s">
        <v>27</v>
      </c>
      <c r="M346" t="str">
        <f>INDEX( dim_segment!$A$2:$A$5,MATCH(L346,  dim_segment!$B$2:$B$5, 0))</f>
        <v>SEG002</v>
      </c>
      <c r="N346" t="s">
        <v>33</v>
      </c>
      <c r="O346" s="2">
        <v>4</v>
      </c>
      <c r="P346" s="2">
        <v>60000</v>
      </c>
      <c r="Q346">
        <v>0.03</v>
      </c>
      <c r="R346" s="2">
        <v>232800</v>
      </c>
    </row>
    <row r="347" spans="1:18" x14ac:dyDescent="0.25">
      <c r="A347" t="s">
        <v>423</v>
      </c>
      <c r="B347" s="1">
        <v>45336</v>
      </c>
      <c r="C347" s="1" t="s">
        <v>46</v>
      </c>
      <c r="D347" t="s">
        <v>19</v>
      </c>
      <c r="E347" t="s">
        <v>412</v>
      </c>
      <c r="F347" t="s">
        <v>413</v>
      </c>
      <c r="G347" t="s">
        <v>414</v>
      </c>
      <c r="H347" t="s">
        <v>27</v>
      </c>
      <c r="I347" t="s">
        <v>75</v>
      </c>
      <c r="J347" t="s">
        <v>76</v>
      </c>
      <c r="K347" t="s">
        <v>49</v>
      </c>
      <c r="L347" t="s">
        <v>65</v>
      </c>
      <c r="M347" t="str">
        <f>INDEX( dim_segment!$A$2:$A$5,MATCH(L347,  dim_segment!$B$2:$B$5, 0))</f>
        <v>SEG003</v>
      </c>
      <c r="N347" t="s">
        <v>37</v>
      </c>
      <c r="O347" s="2">
        <v>3</v>
      </c>
      <c r="P347" s="2">
        <v>120000</v>
      </c>
      <c r="Q347">
        <v>0.11</v>
      </c>
      <c r="R347" s="2">
        <v>320400</v>
      </c>
    </row>
    <row r="348" spans="1:18" x14ac:dyDescent="0.25">
      <c r="A348" t="s">
        <v>424</v>
      </c>
      <c r="B348" s="1">
        <v>45378</v>
      </c>
      <c r="C348" s="1" t="s">
        <v>56</v>
      </c>
      <c r="D348" t="s">
        <v>19</v>
      </c>
      <c r="E348" t="s">
        <v>412</v>
      </c>
      <c r="F348" t="s">
        <v>413</v>
      </c>
      <c r="G348" t="s">
        <v>414</v>
      </c>
      <c r="H348" t="s">
        <v>27</v>
      </c>
      <c r="I348" t="s">
        <v>30</v>
      </c>
      <c r="J348" t="s">
        <v>31</v>
      </c>
      <c r="K348" t="s">
        <v>32</v>
      </c>
      <c r="L348" t="s">
        <v>43</v>
      </c>
      <c r="M348" t="str">
        <f>INDEX( dim_segment!$A$2:$A$5,MATCH(L348,  dim_segment!$B$2:$B$5, 0))</f>
        <v>SEG004</v>
      </c>
      <c r="N348" t="s">
        <v>33</v>
      </c>
      <c r="O348" s="2">
        <v>2</v>
      </c>
      <c r="P348" s="2">
        <v>60000</v>
      </c>
      <c r="Q348">
        <v>0.11</v>
      </c>
      <c r="R348" s="2">
        <v>106800</v>
      </c>
    </row>
    <row r="349" spans="1:18" x14ac:dyDescent="0.25">
      <c r="A349" t="s">
        <v>425</v>
      </c>
      <c r="B349" s="1">
        <v>45377</v>
      </c>
      <c r="C349" s="1" t="s">
        <v>56</v>
      </c>
      <c r="D349" t="s">
        <v>19</v>
      </c>
      <c r="E349" t="s">
        <v>412</v>
      </c>
      <c r="F349" t="s">
        <v>413</v>
      </c>
      <c r="G349" t="s">
        <v>414</v>
      </c>
      <c r="H349" t="s">
        <v>27</v>
      </c>
      <c r="I349" t="s">
        <v>30</v>
      </c>
      <c r="J349" t="s">
        <v>31</v>
      </c>
      <c r="K349" t="s">
        <v>32</v>
      </c>
      <c r="L349" t="s">
        <v>27</v>
      </c>
      <c r="M349" t="str">
        <f>INDEX( dim_segment!$A$2:$A$5,MATCH(L349,  dim_segment!$B$2:$B$5, 0))</f>
        <v>SEG002</v>
      </c>
      <c r="N349" t="s">
        <v>33</v>
      </c>
      <c r="O349" s="2">
        <v>4</v>
      </c>
      <c r="P349" s="2">
        <v>60000</v>
      </c>
      <c r="Q349">
        <v>0.1</v>
      </c>
      <c r="R349" s="2">
        <v>216000</v>
      </c>
    </row>
    <row r="350" spans="1:18" x14ac:dyDescent="0.25">
      <c r="A350" t="s">
        <v>426</v>
      </c>
      <c r="B350" s="1">
        <v>45365</v>
      </c>
      <c r="C350" s="1" t="s">
        <v>56</v>
      </c>
      <c r="D350" t="s">
        <v>19</v>
      </c>
      <c r="E350" t="s">
        <v>412</v>
      </c>
      <c r="F350" t="s">
        <v>413</v>
      </c>
      <c r="G350" t="s">
        <v>414</v>
      </c>
      <c r="H350" t="s">
        <v>27</v>
      </c>
      <c r="I350" t="s">
        <v>75</v>
      </c>
      <c r="J350" t="s">
        <v>76</v>
      </c>
      <c r="K350" t="s">
        <v>49</v>
      </c>
      <c r="L350" t="s">
        <v>43</v>
      </c>
      <c r="M350" t="str">
        <f>INDEX( dim_segment!$A$2:$A$5,MATCH(L350,  dim_segment!$B$2:$B$5, 0))</f>
        <v>SEG004</v>
      </c>
      <c r="N350" t="s">
        <v>33</v>
      </c>
      <c r="O350" s="2">
        <v>1</v>
      </c>
      <c r="P350" s="2">
        <v>120000</v>
      </c>
      <c r="Q350">
        <v>7.0000000000000007E-2</v>
      </c>
      <c r="R350" s="2">
        <v>111600</v>
      </c>
    </row>
    <row r="351" spans="1:18" x14ac:dyDescent="0.25">
      <c r="A351" t="s">
        <v>427</v>
      </c>
      <c r="B351" s="1">
        <v>45357</v>
      </c>
      <c r="C351" s="1" t="s">
        <v>56</v>
      </c>
      <c r="D351" t="s">
        <v>19</v>
      </c>
      <c r="E351" t="s">
        <v>412</v>
      </c>
      <c r="F351" t="s">
        <v>413</v>
      </c>
      <c r="G351" t="s">
        <v>414</v>
      </c>
      <c r="H351" t="s">
        <v>27</v>
      </c>
      <c r="I351" t="s">
        <v>60</v>
      </c>
      <c r="J351" t="s">
        <v>61</v>
      </c>
      <c r="K351" t="s">
        <v>26</v>
      </c>
      <c r="L351" t="s">
        <v>65</v>
      </c>
      <c r="M351" t="str">
        <f>INDEX( dim_segment!$A$2:$A$5,MATCH(L351,  dim_segment!$B$2:$B$5, 0))</f>
        <v>SEG003</v>
      </c>
      <c r="N351" t="s">
        <v>54</v>
      </c>
      <c r="O351" s="2">
        <v>1</v>
      </c>
      <c r="P351" s="2">
        <v>95000</v>
      </c>
      <c r="Q351">
        <v>0.11</v>
      </c>
      <c r="R351" s="2">
        <v>84600</v>
      </c>
    </row>
    <row r="352" spans="1:18" x14ac:dyDescent="0.25">
      <c r="A352" t="s">
        <v>428</v>
      </c>
      <c r="B352" s="1">
        <v>45363</v>
      </c>
      <c r="C352" s="1" t="s">
        <v>56</v>
      </c>
      <c r="D352" t="s">
        <v>19</v>
      </c>
      <c r="E352" t="s">
        <v>412</v>
      </c>
      <c r="F352" t="s">
        <v>413</v>
      </c>
      <c r="G352" t="s">
        <v>414</v>
      </c>
      <c r="H352" t="s">
        <v>27</v>
      </c>
      <c r="I352" t="s">
        <v>30</v>
      </c>
      <c r="J352" t="s">
        <v>31</v>
      </c>
      <c r="K352" t="s">
        <v>32</v>
      </c>
      <c r="L352" t="s">
        <v>27</v>
      </c>
      <c r="M352" t="str">
        <f>INDEX( dim_segment!$A$2:$A$5,MATCH(L352,  dim_segment!$B$2:$B$5, 0))</f>
        <v>SEG002</v>
      </c>
      <c r="N352" t="s">
        <v>54</v>
      </c>
      <c r="O352" s="2">
        <v>3</v>
      </c>
      <c r="P352" s="2">
        <v>60000</v>
      </c>
      <c r="Q352">
        <v>0.11</v>
      </c>
      <c r="R352" s="2">
        <v>160200</v>
      </c>
    </row>
    <row r="353" spans="1:18" x14ac:dyDescent="0.25">
      <c r="A353" t="s">
        <v>429</v>
      </c>
      <c r="B353" s="1">
        <v>45370</v>
      </c>
      <c r="C353" s="1" t="s">
        <v>56</v>
      </c>
      <c r="D353" t="s">
        <v>19</v>
      </c>
      <c r="E353" t="s">
        <v>412</v>
      </c>
      <c r="F353" t="s">
        <v>413</v>
      </c>
      <c r="G353" t="s">
        <v>414</v>
      </c>
      <c r="H353" t="s">
        <v>27</v>
      </c>
      <c r="I353" t="s">
        <v>35</v>
      </c>
      <c r="J353" t="s">
        <v>36</v>
      </c>
      <c r="K353" t="s">
        <v>32</v>
      </c>
      <c r="L353" t="s">
        <v>65</v>
      </c>
      <c r="M353" t="str">
        <f>INDEX( dim_segment!$A$2:$A$5,MATCH(L353,  dim_segment!$B$2:$B$5, 0))</f>
        <v>SEG003</v>
      </c>
      <c r="N353" t="s">
        <v>37</v>
      </c>
      <c r="O353" s="2">
        <v>2</v>
      </c>
      <c r="P353" s="2">
        <v>45000</v>
      </c>
      <c r="Q353">
        <v>0.05</v>
      </c>
      <c r="R353" s="2">
        <v>85500</v>
      </c>
    </row>
    <row r="354" spans="1:18" x14ac:dyDescent="0.25">
      <c r="A354" t="s">
        <v>430</v>
      </c>
      <c r="B354" s="1">
        <v>45388</v>
      </c>
      <c r="C354" s="1" t="s">
        <v>67</v>
      </c>
      <c r="D354" t="s">
        <v>68</v>
      </c>
      <c r="E354" t="s">
        <v>412</v>
      </c>
      <c r="F354" t="s">
        <v>413</v>
      </c>
      <c r="G354" t="s">
        <v>414</v>
      </c>
      <c r="H354" t="s">
        <v>27</v>
      </c>
      <c r="I354" t="s">
        <v>60</v>
      </c>
      <c r="J354" t="s">
        <v>61</v>
      </c>
      <c r="K354" t="s">
        <v>26</v>
      </c>
      <c r="L354" t="s">
        <v>23</v>
      </c>
      <c r="M354" t="str">
        <f>INDEX( dim_segment!$A$2:$A$5,MATCH(L354,  dim_segment!$B$2:$B$5, 0))</f>
        <v>SEG001</v>
      </c>
      <c r="N354" t="s">
        <v>54</v>
      </c>
      <c r="O354" s="2">
        <v>5</v>
      </c>
      <c r="P354" s="2">
        <v>95000</v>
      </c>
      <c r="Q354">
        <v>0.11</v>
      </c>
      <c r="R354" s="2">
        <v>422800</v>
      </c>
    </row>
    <row r="355" spans="1:18" x14ac:dyDescent="0.25">
      <c r="A355" t="s">
        <v>431</v>
      </c>
      <c r="B355" s="1">
        <v>45387</v>
      </c>
      <c r="C355" s="1" t="s">
        <v>67</v>
      </c>
      <c r="D355" t="s">
        <v>68</v>
      </c>
      <c r="E355" t="s">
        <v>412</v>
      </c>
      <c r="F355" t="s">
        <v>413</v>
      </c>
      <c r="G355" t="s">
        <v>414</v>
      </c>
      <c r="H355" t="s">
        <v>27</v>
      </c>
      <c r="I355" t="s">
        <v>24</v>
      </c>
      <c r="J355" t="s">
        <v>25</v>
      </c>
      <c r="K355" t="s">
        <v>26</v>
      </c>
      <c r="L355" t="s">
        <v>23</v>
      </c>
      <c r="M355" t="str">
        <f>INDEX( dim_segment!$A$2:$A$5,MATCH(L355,  dim_segment!$B$2:$B$5, 0))</f>
        <v>SEG001</v>
      </c>
      <c r="N355" t="s">
        <v>33</v>
      </c>
      <c r="O355" s="2">
        <v>4</v>
      </c>
      <c r="P355" s="2">
        <v>75000</v>
      </c>
      <c r="Q355">
        <v>0.04</v>
      </c>
      <c r="R355" s="2">
        <v>288000</v>
      </c>
    </row>
    <row r="356" spans="1:18" x14ac:dyDescent="0.25">
      <c r="A356" t="s">
        <v>432</v>
      </c>
      <c r="B356" s="1">
        <v>45393</v>
      </c>
      <c r="C356" s="1" t="s">
        <v>67</v>
      </c>
      <c r="D356" t="s">
        <v>68</v>
      </c>
      <c r="E356" t="s">
        <v>412</v>
      </c>
      <c r="F356" t="s">
        <v>413</v>
      </c>
      <c r="G356" t="s">
        <v>414</v>
      </c>
      <c r="H356" t="s">
        <v>27</v>
      </c>
      <c r="I356" t="s">
        <v>47</v>
      </c>
      <c r="J356" t="s">
        <v>48</v>
      </c>
      <c r="K356" t="s">
        <v>49</v>
      </c>
      <c r="L356" t="s">
        <v>27</v>
      </c>
      <c r="M356" t="str">
        <f>INDEX( dim_segment!$A$2:$A$5,MATCH(L356,  dim_segment!$B$2:$B$5, 0))</f>
        <v>SEG002</v>
      </c>
      <c r="N356" t="s">
        <v>54</v>
      </c>
      <c r="O356" s="2">
        <v>2</v>
      </c>
      <c r="P356" s="2">
        <v>200000</v>
      </c>
      <c r="Q356">
        <v>0.01</v>
      </c>
      <c r="R356" s="2">
        <v>396000</v>
      </c>
    </row>
    <row r="357" spans="1:18" x14ac:dyDescent="0.25">
      <c r="A357" t="s">
        <v>433</v>
      </c>
      <c r="B357" s="1">
        <v>45401</v>
      </c>
      <c r="C357" s="1" t="s">
        <v>67</v>
      </c>
      <c r="D357" t="s">
        <v>68</v>
      </c>
      <c r="E357" t="s">
        <v>412</v>
      </c>
      <c r="F357" t="s">
        <v>413</v>
      </c>
      <c r="G357" t="s">
        <v>414</v>
      </c>
      <c r="H357" t="s">
        <v>27</v>
      </c>
      <c r="I357" t="s">
        <v>75</v>
      </c>
      <c r="J357" t="s">
        <v>76</v>
      </c>
      <c r="K357" t="s">
        <v>49</v>
      </c>
      <c r="L357" t="s">
        <v>65</v>
      </c>
      <c r="M357" t="str">
        <f>INDEX( dim_segment!$A$2:$A$5,MATCH(L357,  dim_segment!$B$2:$B$5, 0))</f>
        <v>SEG003</v>
      </c>
      <c r="N357" t="s">
        <v>28</v>
      </c>
      <c r="O357" s="2">
        <v>2</v>
      </c>
      <c r="P357" s="2">
        <v>120000</v>
      </c>
      <c r="Q357">
        <v>0.06</v>
      </c>
      <c r="R357" s="2">
        <v>225600</v>
      </c>
    </row>
    <row r="358" spans="1:18" x14ac:dyDescent="0.25">
      <c r="A358" t="s">
        <v>434</v>
      </c>
      <c r="B358" s="1">
        <v>45430</v>
      </c>
      <c r="C358" s="1" t="s">
        <v>78</v>
      </c>
      <c r="D358" t="s">
        <v>68</v>
      </c>
      <c r="E358" t="s">
        <v>412</v>
      </c>
      <c r="F358" t="s">
        <v>413</v>
      </c>
      <c r="G358" t="s">
        <v>414</v>
      </c>
      <c r="H358" t="s">
        <v>27</v>
      </c>
      <c r="I358" t="s">
        <v>40</v>
      </c>
      <c r="J358" t="s">
        <v>41</v>
      </c>
      <c r="K358" t="s">
        <v>42</v>
      </c>
      <c r="L358" t="s">
        <v>27</v>
      </c>
      <c r="M358" t="str">
        <f>INDEX( dim_segment!$A$2:$A$5,MATCH(L358,  dim_segment!$B$2:$B$5, 0))</f>
        <v>SEG002</v>
      </c>
      <c r="N358" t="s">
        <v>54</v>
      </c>
      <c r="O358" s="2">
        <v>4</v>
      </c>
      <c r="P358" s="2">
        <v>85000</v>
      </c>
      <c r="Q358">
        <v>0.1</v>
      </c>
      <c r="R358" s="2">
        <v>306000</v>
      </c>
    </row>
    <row r="359" spans="1:18" x14ac:dyDescent="0.25">
      <c r="A359" t="s">
        <v>435</v>
      </c>
      <c r="B359" s="1">
        <v>45418</v>
      </c>
      <c r="C359" s="1" t="s">
        <v>78</v>
      </c>
      <c r="D359" t="s">
        <v>68</v>
      </c>
      <c r="E359" t="s">
        <v>412</v>
      </c>
      <c r="F359" t="s">
        <v>413</v>
      </c>
      <c r="G359" t="s">
        <v>414</v>
      </c>
      <c r="H359" t="s">
        <v>27</v>
      </c>
      <c r="I359" t="s">
        <v>24</v>
      </c>
      <c r="J359" t="s">
        <v>25</v>
      </c>
      <c r="K359" t="s">
        <v>26</v>
      </c>
      <c r="L359" t="s">
        <v>23</v>
      </c>
      <c r="M359" t="str">
        <f>INDEX( dim_segment!$A$2:$A$5,MATCH(L359,  dim_segment!$B$2:$B$5, 0))</f>
        <v>SEG001</v>
      </c>
      <c r="N359" t="s">
        <v>33</v>
      </c>
      <c r="O359" s="2">
        <v>4</v>
      </c>
      <c r="P359" s="2">
        <v>75000</v>
      </c>
      <c r="Q359">
        <v>0.1</v>
      </c>
      <c r="R359" s="2">
        <v>270000</v>
      </c>
    </row>
    <row r="360" spans="1:18" x14ac:dyDescent="0.25">
      <c r="A360" t="s">
        <v>436</v>
      </c>
      <c r="B360" s="1">
        <v>45468</v>
      </c>
      <c r="C360" s="1" t="s">
        <v>84</v>
      </c>
      <c r="D360" t="s">
        <v>68</v>
      </c>
      <c r="E360" t="s">
        <v>412</v>
      </c>
      <c r="F360" t="s">
        <v>413</v>
      </c>
      <c r="G360" t="s">
        <v>414</v>
      </c>
      <c r="H360" t="s">
        <v>27</v>
      </c>
      <c r="I360" t="s">
        <v>40</v>
      </c>
      <c r="J360" t="s">
        <v>41</v>
      </c>
      <c r="K360" t="s">
        <v>42</v>
      </c>
      <c r="L360" t="s">
        <v>65</v>
      </c>
      <c r="M360" t="str">
        <f>INDEX( dim_segment!$A$2:$A$5,MATCH(L360,  dim_segment!$B$2:$B$5, 0))</f>
        <v>SEG003</v>
      </c>
      <c r="N360" t="s">
        <v>37</v>
      </c>
      <c r="O360" s="2">
        <v>2</v>
      </c>
      <c r="P360" s="2">
        <v>85000</v>
      </c>
      <c r="Q360">
        <v>0.06</v>
      </c>
      <c r="R360" s="2">
        <v>159800</v>
      </c>
    </row>
    <row r="361" spans="1:18" x14ac:dyDescent="0.25">
      <c r="A361" t="s">
        <v>437</v>
      </c>
      <c r="B361" s="1">
        <v>45457</v>
      </c>
      <c r="C361" s="1" t="s">
        <v>84</v>
      </c>
      <c r="D361" t="s">
        <v>68</v>
      </c>
      <c r="E361" t="s">
        <v>412</v>
      </c>
      <c r="F361" t="s">
        <v>413</v>
      </c>
      <c r="G361" t="s">
        <v>414</v>
      </c>
      <c r="H361" t="s">
        <v>27</v>
      </c>
      <c r="I361" t="s">
        <v>24</v>
      </c>
      <c r="J361" t="s">
        <v>25</v>
      </c>
      <c r="K361" t="s">
        <v>26</v>
      </c>
      <c r="L361" t="s">
        <v>27</v>
      </c>
      <c r="M361" t="str">
        <f>INDEX( dim_segment!$A$2:$A$5,MATCH(L361,  dim_segment!$B$2:$B$5, 0))</f>
        <v>SEG002</v>
      </c>
      <c r="N361" t="s">
        <v>54</v>
      </c>
      <c r="O361" s="2">
        <v>4</v>
      </c>
      <c r="P361" s="2">
        <v>75000</v>
      </c>
      <c r="Q361">
        <v>0.04</v>
      </c>
      <c r="R361" s="2">
        <v>288000</v>
      </c>
    </row>
    <row r="362" spans="1:18" x14ac:dyDescent="0.25">
      <c r="A362" t="s">
        <v>438</v>
      </c>
      <c r="B362" s="1">
        <v>45462</v>
      </c>
      <c r="C362" s="1" t="s">
        <v>84</v>
      </c>
      <c r="D362" t="s">
        <v>68</v>
      </c>
      <c r="E362" t="s">
        <v>412</v>
      </c>
      <c r="F362" t="s">
        <v>413</v>
      </c>
      <c r="G362" t="s">
        <v>414</v>
      </c>
      <c r="H362" t="s">
        <v>27</v>
      </c>
      <c r="I362" t="s">
        <v>30</v>
      </c>
      <c r="J362" t="s">
        <v>31</v>
      </c>
      <c r="K362" t="s">
        <v>32</v>
      </c>
      <c r="L362" t="s">
        <v>23</v>
      </c>
      <c r="M362" t="str">
        <f>INDEX( dim_segment!$A$2:$A$5,MATCH(L362,  dim_segment!$B$2:$B$5, 0))</f>
        <v>SEG001</v>
      </c>
      <c r="N362" t="s">
        <v>28</v>
      </c>
      <c r="O362" s="2">
        <v>4</v>
      </c>
      <c r="P362" s="2">
        <v>60000</v>
      </c>
      <c r="Q362">
        <v>0.09</v>
      </c>
      <c r="R362" s="2">
        <v>218400</v>
      </c>
    </row>
    <row r="363" spans="1:18" x14ac:dyDescent="0.25">
      <c r="A363" t="s">
        <v>439</v>
      </c>
      <c r="B363" s="1">
        <v>45459</v>
      </c>
      <c r="C363" s="1" t="s">
        <v>84</v>
      </c>
      <c r="D363" t="s">
        <v>68</v>
      </c>
      <c r="E363" t="s">
        <v>412</v>
      </c>
      <c r="F363" t="s">
        <v>413</v>
      </c>
      <c r="G363" t="s">
        <v>414</v>
      </c>
      <c r="H363" t="s">
        <v>27</v>
      </c>
      <c r="I363" t="s">
        <v>35</v>
      </c>
      <c r="J363" t="s">
        <v>36</v>
      </c>
      <c r="K363" t="s">
        <v>32</v>
      </c>
      <c r="L363" t="s">
        <v>27</v>
      </c>
      <c r="M363" t="str">
        <f>INDEX( dim_segment!$A$2:$A$5,MATCH(L363,  dim_segment!$B$2:$B$5, 0))</f>
        <v>SEG002</v>
      </c>
      <c r="N363" t="s">
        <v>37</v>
      </c>
      <c r="O363" s="2">
        <v>3</v>
      </c>
      <c r="P363" s="2">
        <v>45000</v>
      </c>
      <c r="Q363">
        <v>0.04</v>
      </c>
      <c r="R363" s="2">
        <v>129600</v>
      </c>
    </row>
    <row r="364" spans="1:18" x14ac:dyDescent="0.25">
      <c r="A364" t="s">
        <v>440</v>
      </c>
      <c r="B364" s="1">
        <v>45454</v>
      </c>
      <c r="C364" s="1" t="s">
        <v>84</v>
      </c>
      <c r="D364" t="s">
        <v>68</v>
      </c>
      <c r="E364" t="s">
        <v>412</v>
      </c>
      <c r="F364" t="s">
        <v>413</v>
      </c>
      <c r="G364" t="s">
        <v>414</v>
      </c>
      <c r="H364" t="s">
        <v>27</v>
      </c>
      <c r="I364" t="s">
        <v>35</v>
      </c>
      <c r="J364" t="s">
        <v>36</v>
      </c>
      <c r="K364" t="s">
        <v>32</v>
      </c>
      <c r="L364" t="s">
        <v>23</v>
      </c>
      <c r="M364" t="str">
        <f>INDEX( dim_segment!$A$2:$A$5,MATCH(L364,  dim_segment!$B$2:$B$5, 0))</f>
        <v>SEG001</v>
      </c>
      <c r="N364" t="s">
        <v>37</v>
      </c>
      <c r="O364" s="2">
        <v>5</v>
      </c>
      <c r="P364" s="2">
        <v>45000</v>
      </c>
      <c r="Q364">
        <v>0.06</v>
      </c>
      <c r="R364" s="2">
        <v>211500</v>
      </c>
    </row>
    <row r="365" spans="1:18" x14ac:dyDescent="0.25">
      <c r="A365" t="s">
        <v>441</v>
      </c>
      <c r="B365" s="1">
        <v>45477</v>
      </c>
      <c r="C365" s="1" t="s">
        <v>92</v>
      </c>
      <c r="D365" t="s">
        <v>93</v>
      </c>
      <c r="E365" t="s">
        <v>412</v>
      </c>
      <c r="F365" t="s">
        <v>413</v>
      </c>
      <c r="G365" t="s">
        <v>414</v>
      </c>
      <c r="H365" t="s">
        <v>27</v>
      </c>
      <c r="I365" t="s">
        <v>35</v>
      </c>
      <c r="J365" t="s">
        <v>36</v>
      </c>
      <c r="K365" t="s">
        <v>32</v>
      </c>
      <c r="L365" t="s">
        <v>27</v>
      </c>
      <c r="M365" t="str">
        <f>INDEX( dim_segment!$A$2:$A$5,MATCH(L365,  dim_segment!$B$2:$B$5, 0))</f>
        <v>SEG002</v>
      </c>
      <c r="N365" t="s">
        <v>33</v>
      </c>
      <c r="O365" s="2">
        <v>1</v>
      </c>
      <c r="P365" s="2">
        <v>45000</v>
      </c>
      <c r="Q365">
        <v>0.05</v>
      </c>
      <c r="R365" s="2">
        <v>42800</v>
      </c>
    </row>
    <row r="366" spans="1:18" x14ac:dyDescent="0.25">
      <c r="A366" t="s">
        <v>442</v>
      </c>
      <c r="B366" s="1">
        <v>45496</v>
      </c>
      <c r="C366" s="1" t="s">
        <v>92</v>
      </c>
      <c r="D366" t="s">
        <v>93</v>
      </c>
      <c r="E366" t="s">
        <v>412</v>
      </c>
      <c r="F366" t="s">
        <v>413</v>
      </c>
      <c r="G366" t="s">
        <v>414</v>
      </c>
      <c r="H366" t="s">
        <v>27</v>
      </c>
      <c r="I366" t="s">
        <v>40</v>
      </c>
      <c r="J366" t="s">
        <v>41</v>
      </c>
      <c r="K366" t="s">
        <v>42</v>
      </c>
      <c r="L366" t="s">
        <v>65</v>
      </c>
      <c r="M366" t="str">
        <f>INDEX( dim_segment!$A$2:$A$5,MATCH(L366,  dim_segment!$B$2:$B$5, 0))</f>
        <v>SEG003</v>
      </c>
      <c r="N366" t="s">
        <v>54</v>
      </c>
      <c r="O366" s="2">
        <v>2</v>
      </c>
      <c r="P366" s="2">
        <v>85000</v>
      </c>
      <c r="Q366">
        <v>0.06</v>
      </c>
      <c r="R366" s="2">
        <v>159800</v>
      </c>
    </row>
    <row r="367" spans="1:18" x14ac:dyDescent="0.25">
      <c r="A367" t="s">
        <v>443</v>
      </c>
      <c r="B367" s="1">
        <v>45509</v>
      </c>
      <c r="C367" s="1" t="s">
        <v>102</v>
      </c>
      <c r="D367" t="s">
        <v>93</v>
      </c>
      <c r="E367" t="s">
        <v>412</v>
      </c>
      <c r="F367" t="s">
        <v>413</v>
      </c>
      <c r="G367" t="s">
        <v>414</v>
      </c>
      <c r="H367" t="s">
        <v>27</v>
      </c>
      <c r="I367" t="s">
        <v>35</v>
      </c>
      <c r="J367" t="s">
        <v>36</v>
      </c>
      <c r="K367" t="s">
        <v>32</v>
      </c>
      <c r="L367" t="s">
        <v>27</v>
      </c>
      <c r="M367" t="str">
        <f>INDEX( dim_segment!$A$2:$A$5,MATCH(L367,  dim_segment!$B$2:$B$5, 0))</f>
        <v>SEG002</v>
      </c>
      <c r="N367" t="s">
        <v>54</v>
      </c>
      <c r="O367" s="2">
        <v>4</v>
      </c>
      <c r="P367" s="2">
        <v>45000</v>
      </c>
      <c r="Q367">
        <v>0.01</v>
      </c>
      <c r="R367" s="2">
        <v>178200</v>
      </c>
    </row>
    <row r="368" spans="1:18" x14ac:dyDescent="0.25">
      <c r="A368" t="s">
        <v>444</v>
      </c>
      <c r="B368" s="1">
        <v>45525</v>
      </c>
      <c r="C368" s="1" t="s">
        <v>102</v>
      </c>
      <c r="D368" t="s">
        <v>93</v>
      </c>
      <c r="E368" t="s">
        <v>412</v>
      </c>
      <c r="F368" t="s">
        <v>413</v>
      </c>
      <c r="G368" t="s">
        <v>414</v>
      </c>
      <c r="H368" t="s">
        <v>27</v>
      </c>
      <c r="I368" t="s">
        <v>35</v>
      </c>
      <c r="J368" t="s">
        <v>36</v>
      </c>
      <c r="K368" t="s">
        <v>32</v>
      </c>
      <c r="L368" t="s">
        <v>65</v>
      </c>
      <c r="M368" t="str">
        <f>INDEX( dim_segment!$A$2:$A$5,MATCH(L368,  dim_segment!$B$2:$B$5, 0))</f>
        <v>SEG003</v>
      </c>
      <c r="N368" t="s">
        <v>37</v>
      </c>
      <c r="O368" s="2">
        <v>2</v>
      </c>
      <c r="P368" s="2">
        <v>45000</v>
      </c>
      <c r="Q368">
        <v>0.03</v>
      </c>
      <c r="R368" s="2">
        <v>87300</v>
      </c>
    </row>
    <row r="369" spans="1:18" x14ac:dyDescent="0.25">
      <c r="A369" t="s">
        <v>445</v>
      </c>
      <c r="B369" s="1">
        <v>45515</v>
      </c>
      <c r="C369" s="1" t="s">
        <v>102</v>
      </c>
      <c r="D369" t="s">
        <v>93</v>
      </c>
      <c r="E369" t="s">
        <v>412</v>
      </c>
      <c r="F369" t="s">
        <v>413</v>
      </c>
      <c r="G369" t="s">
        <v>414</v>
      </c>
      <c r="H369" t="s">
        <v>27</v>
      </c>
      <c r="I369" t="s">
        <v>51</v>
      </c>
      <c r="J369" t="s">
        <v>52</v>
      </c>
      <c r="K369" t="s">
        <v>42</v>
      </c>
      <c r="L369" t="s">
        <v>43</v>
      </c>
      <c r="M369" t="str">
        <f>INDEX( dim_segment!$A$2:$A$5,MATCH(L369,  dim_segment!$B$2:$B$5, 0))</f>
        <v>SEG004</v>
      </c>
      <c r="N369" t="s">
        <v>28</v>
      </c>
      <c r="O369" s="2">
        <v>4</v>
      </c>
      <c r="P369" s="2">
        <v>150000</v>
      </c>
      <c r="Q369">
        <v>7.0000000000000007E-2</v>
      </c>
      <c r="R369" s="2">
        <v>558000</v>
      </c>
    </row>
    <row r="370" spans="1:18" x14ac:dyDescent="0.25">
      <c r="A370" t="s">
        <v>446</v>
      </c>
      <c r="B370" s="1">
        <v>45532</v>
      </c>
      <c r="C370" s="1" t="s">
        <v>102</v>
      </c>
      <c r="D370" t="s">
        <v>93</v>
      </c>
      <c r="E370" t="s">
        <v>412</v>
      </c>
      <c r="F370" t="s">
        <v>413</v>
      </c>
      <c r="G370" t="s">
        <v>414</v>
      </c>
      <c r="H370" t="s">
        <v>27</v>
      </c>
      <c r="I370" t="s">
        <v>60</v>
      </c>
      <c r="J370" t="s">
        <v>61</v>
      </c>
      <c r="K370" t="s">
        <v>26</v>
      </c>
      <c r="L370" t="s">
        <v>65</v>
      </c>
      <c r="M370" t="str">
        <f>INDEX( dim_segment!$A$2:$A$5,MATCH(L370,  dim_segment!$B$2:$B$5, 0))</f>
        <v>SEG003</v>
      </c>
      <c r="N370" t="s">
        <v>33</v>
      </c>
      <c r="O370" s="2">
        <v>2</v>
      </c>
      <c r="P370" s="2">
        <v>95000</v>
      </c>
      <c r="Q370">
        <v>7.0000000000000007E-2</v>
      </c>
      <c r="R370" s="2">
        <v>176700</v>
      </c>
    </row>
    <row r="371" spans="1:18" x14ac:dyDescent="0.25">
      <c r="A371" t="s">
        <v>447</v>
      </c>
      <c r="B371" s="1">
        <v>45530</v>
      </c>
      <c r="C371" s="1" t="s">
        <v>102</v>
      </c>
      <c r="D371" t="s">
        <v>93</v>
      </c>
      <c r="E371" t="s">
        <v>412</v>
      </c>
      <c r="F371" t="s">
        <v>413</v>
      </c>
      <c r="G371" t="s">
        <v>414</v>
      </c>
      <c r="H371" t="s">
        <v>27</v>
      </c>
      <c r="I371" t="s">
        <v>40</v>
      </c>
      <c r="J371" t="s">
        <v>41</v>
      </c>
      <c r="K371" t="s">
        <v>42</v>
      </c>
      <c r="L371" t="s">
        <v>23</v>
      </c>
      <c r="M371" t="str">
        <f>INDEX( dim_segment!$A$2:$A$5,MATCH(L371,  dim_segment!$B$2:$B$5, 0))</f>
        <v>SEG001</v>
      </c>
      <c r="N371" t="s">
        <v>28</v>
      </c>
      <c r="O371" s="2">
        <v>4</v>
      </c>
      <c r="P371" s="2">
        <v>85000</v>
      </c>
      <c r="Q371">
        <v>0.08</v>
      </c>
      <c r="R371" s="2">
        <v>312800</v>
      </c>
    </row>
    <row r="372" spans="1:18" x14ac:dyDescent="0.25">
      <c r="A372" t="s">
        <v>448</v>
      </c>
      <c r="B372" s="1">
        <v>45552</v>
      </c>
      <c r="C372" s="1" t="s">
        <v>106</v>
      </c>
      <c r="D372" t="s">
        <v>93</v>
      </c>
      <c r="E372" t="s">
        <v>412</v>
      </c>
      <c r="F372" t="s">
        <v>413</v>
      </c>
      <c r="G372" t="s">
        <v>414</v>
      </c>
      <c r="H372" t="s">
        <v>27</v>
      </c>
      <c r="I372" t="s">
        <v>35</v>
      </c>
      <c r="J372" t="s">
        <v>36</v>
      </c>
      <c r="K372" t="s">
        <v>32</v>
      </c>
      <c r="L372" t="s">
        <v>65</v>
      </c>
      <c r="M372" t="str">
        <f>INDEX( dim_segment!$A$2:$A$5,MATCH(L372,  dim_segment!$B$2:$B$5, 0))</f>
        <v>SEG003</v>
      </c>
      <c r="N372" t="s">
        <v>28</v>
      </c>
      <c r="O372" s="2">
        <v>4</v>
      </c>
      <c r="P372" s="2">
        <v>45000</v>
      </c>
      <c r="Q372">
        <v>0.04</v>
      </c>
      <c r="R372" s="2">
        <v>172800</v>
      </c>
    </row>
    <row r="373" spans="1:18" x14ac:dyDescent="0.25">
      <c r="A373" t="s">
        <v>449</v>
      </c>
      <c r="B373" s="1">
        <v>45542</v>
      </c>
      <c r="C373" s="1" t="s">
        <v>106</v>
      </c>
      <c r="D373" t="s">
        <v>93</v>
      </c>
      <c r="E373" t="s">
        <v>412</v>
      </c>
      <c r="F373" t="s">
        <v>413</v>
      </c>
      <c r="G373" t="s">
        <v>414</v>
      </c>
      <c r="H373" t="s">
        <v>27</v>
      </c>
      <c r="I373" t="s">
        <v>24</v>
      </c>
      <c r="J373" t="s">
        <v>25</v>
      </c>
      <c r="K373" t="s">
        <v>26</v>
      </c>
      <c r="L373" t="s">
        <v>23</v>
      </c>
      <c r="M373" t="str">
        <f>INDEX( dim_segment!$A$2:$A$5,MATCH(L373,  dim_segment!$B$2:$B$5, 0))</f>
        <v>SEG001</v>
      </c>
      <c r="N373" t="s">
        <v>28</v>
      </c>
      <c r="O373" s="2">
        <v>1</v>
      </c>
      <c r="P373" s="2">
        <v>75000</v>
      </c>
      <c r="Q373">
        <v>0.06</v>
      </c>
      <c r="R373" s="2">
        <v>70500</v>
      </c>
    </row>
    <row r="374" spans="1:18" x14ac:dyDescent="0.25">
      <c r="A374" t="s">
        <v>450</v>
      </c>
      <c r="B374" s="1">
        <v>45562</v>
      </c>
      <c r="C374" s="1" t="s">
        <v>106</v>
      </c>
      <c r="D374" t="s">
        <v>93</v>
      </c>
      <c r="E374" t="s">
        <v>412</v>
      </c>
      <c r="F374" t="s">
        <v>413</v>
      </c>
      <c r="G374" t="s">
        <v>414</v>
      </c>
      <c r="H374" t="s">
        <v>27</v>
      </c>
      <c r="I374" t="s">
        <v>51</v>
      </c>
      <c r="J374" t="s">
        <v>52</v>
      </c>
      <c r="K374" t="s">
        <v>42</v>
      </c>
      <c r="L374" t="s">
        <v>23</v>
      </c>
      <c r="M374" t="str">
        <f>INDEX( dim_segment!$A$2:$A$5,MATCH(L374,  dim_segment!$B$2:$B$5, 0))</f>
        <v>SEG001</v>
      </c>
      <c r="N374" t="s">
        <v>33</v>
      </c>
      <c r="O374" s="2">
        <v>1</v>
      </c>
      <c r="P374" s="2">
        <v>150000</v>
      </c>
      <c r="Q374">
        <v>0.1</v>
      </c>
      <c r="R374" s="2">
        <v>135000</v>
      </c>
    </row>
    <row r="375" spans="1:18" x14ac:dyDescent="0.25">
      <c r="A375" t="s">
        <v>451</v>
      </c>
      <c r="B375" s="1">
        <v>45550</v>
      </c>
      <c r="C375" s="1" t="s">
        <v>106</v>
      </c>
      <c r="D375" t="s">
        <v>93</v>
      </c>
      <c r="E375" t="s">
        <v>412</v>
      </c>
      <c r="F375" t="s">
        <v>413</v>
      </c>
      <c r="G375" t="s">
        <v>414</v>
      </c>
      <c r="H375" t="s">
        <v>27</v>
      </c>
      <c r="I375" t="s">
        <v>35</v>
      </c>
      <c r="J375" t="s">
        <v>36</v>
      </c>
      <c r="K375" t="s">
        <v>32</v>
      </c>
      <c r="L375" t="s">
        <v>23</v>
      </c>
      <c r="M375" t="str">
        <f>INDEX( dim_segment!$A$2:$A$5,MATCH(L375,  dim_segment!$B$2:$B$5, 0))</f>
        <v>SEG001</v>
      </c>
      <c r="N375" t="s">
        <v>54</v>
      </c>
      <c r="O375" s="2">
        <v>4</v>
      </c>
      <c r="P375" s="2">
        <v>45000</v>
      </c>
      <c r="Q375">
        <v>0.1</v>
      </c>
      <c r="R375" s="2">
        <v>162000</v>
      </c>
    </row>
    <row r="376" spans="1:18" x14ac:dyDescent="0.25">
      <c r="A376" t="s">
        <v>452</v>
      </c>
      <c r="B376" s="1">
        <v>45555</v>
      </c>
      <c r="C376" s="1" t="s">
        <v>106</v>
      </c>
      <c r="D376" t="s">
        <v>93</v>
      </c>
      <c r="E376" t="s">
        <v>412</v>
      </c>
      <c r="F376" t="s">
        <v>413</v>
      </c>
      <c r="G376" t="s">
        <v>414</v>
      </c>
      <c r="H376" t="s">
        <v>27</v>
      </c>
      <c r="I376" t="s">
        <v>40</v>
      </c>
      <c r="J376" t="s">
        <v>41</v>
      </c>
      <c r="K376" t="s">
        <v>42</v>
      </c>
      <c r="L376" t="s">
        <v>65</v>
      </c>
      <c r="M376" t="str">
        <f>INDEX( dim_segment!$A$2:$A$5,MATCH(L376,  dim_segment!$B$2:$B$5, 0))</f>
        <v>SEG003</v>
      </c>
      <c r="N376" t="s">
        <v>37</v>
      </c>
      <c r="O376" s="2">
        <v>1</v>
      </c>
      <c r="P376" s="2">
        <v>85000</v>
      </c>
      <c r="Q376">
        <v>0.01</v>
      </c>
      <c r="R376" s="2">
        <v>84200</v>
      </c>
    </row>
    <row r="377" spans="1:18" x14ac:dyDescent="0.25">
      <c r="A377" t="s">
        <v>453</v>
      </c>
      <c r="B377" s="1">
        <v>45546</v>
      </c>
      <c r="C377" s="1" t="s">
        <v>106</v>
      </c>
      <c r="D377" t="s">
        <v>93</v>
      </c>
      <c r="E377" t="s">
        <v>412</v>
      </c>
      <c r="F377" t="s">
        <v>413</v>
      </c>
      <c r="G377" t="s">
        <v>414</v>
      </c>
      <c r="H377" t="s">
        <v>27</v>
      </c>
      <c r="I377" t="s">
        <v>60</v>
      </c>
      <c r="J377" t="s">
        <v>61</v>
      </c>
      <c r="K377" t="s">
        <v>26</v>
      </c>
      <c r="L377" t="s">
        <v>43</v>
      </c>
      <c r="M377" t="str">
        <f>INDEX( dim_segment!$A$2:$A$5,MATCH(L377,  dim_segment!$B$2:$B$5, 0))</f>
        <v>SEG004</v>
      </c>
      <c r="N377" t="s">
        <v>37</v>
      </c>
      <c r="O377" s="2">
        <v>3</v>
      </c>
      <c r="P377" s="2">
        <v>95000</v>
      </c>
      <c r="Q377">
        <v>0.1</v>
      </c>
      <c r="R377" s="2">
        <v>256500</v>
      </c>
    </row>
    <row r="378" spans="1:18" x14ac:dyDescent="0.25">
      <c r="A378" t="s">
        <v>454</v>
      </c>
      <c r="B378" s="1">
        <v>45567</v>
      </c>
      <c r="C378" s="1" t="s">
        <v>115</v>
      </c>
      <c r="D378" t="s">
        <v>116</v>
      </c>
      <c r="E378" t="s">
        <v>412</v>
      </c>
      <c r="F378" t="s">
        <v>413</v>
      </c>
      <c r="G378" t="s">
        <v>414</v>
      </c>
      <c r="H378" t="s">
        <v>27</v>
      </c>
      <c r="I378" t="s">
        <v>24</v>
      </c>
      <c r="J378" t="s">
        <v>25</v>
      </c>
      <c r="K378" t="s">
        <v>26</v>
      </c>
      <c r="L378" t="s">
        <v>23</v>
      </c>
      <c r="M378" t="str">
        <f>INDEX( dim_segment!$A$2:$A$5,MATCH(L378,  dim_segment!$B$2:$B$5, 0))</f>
        <v>SEG001</v>
      </c>
      <c r="N378" t="s">
        <v>54</v>
      </c>
      <c r="O378" s="2">
        <v>4</v>
      </c>
      <c r="P378" s="2">
        <v>75000</v>
      </c>
      <c r="Q378">
        <v>0.04</v>
      </c>
      <c r="R378" s="2">
        <v>288000</v>
      </c>
    </row>
    <row r="379" spans="1:18" x14ac:dyDescent="0.25">
      <c r="A379" t="s">
        <v>455</v>
      </c>
      <c r="B379" s="1">
        <v>45568</v>
      </c>
      <c r="C379" s="1" t="s">
        <v>115</v>
      </c>
      <c r="D379" t="s">
        <v>116</v>
      </c>
      <c r="E379" t="s">
        <v>412</v>
      </c>
      <c r="F379" t="s">
        <v>413</v>
      </c>
      <c r="G379" t="s">
        <v>414</v>
      </c>
      <c r="H379" t="s">
        <v>27</v>
      </c>
      <c r="I379" t="s">
        <v>75</v>
      </c>
      <c r="J379" t="s">
        <v>76</v>
      </c>
      <c r="K379" t="s">
        <v>49</v>
      </c>
      <c r="L379" t="s">
        <v>43</v>
      </c>
      <c r="M379" t="str">
        <f>INDEX( dim_segment!$A$2:$A$5,MATCH(L379,  dim_segment!$B$2:$B$5, 0))</f>
        <v>SEG004</v>
      </c>
      <c r="N379" t="s">
        <v>28</v>
      </c>
      <c r="O379" s="2">
        <v>4</v>
      </c>
      <c r="P379" s="2">
        <v>120000</v>
      </c>
      <c r="Q379">
        <v>7.0000000000000007E-2</v>
      </c>
      <c r="R379" s="2">
        <v>446400</v>
      </c>
    </row>
    <row r="380" spans="1:18" x14ac:dyDescent="0.25">
      <c r="A380" t="s">
        <v>456</v>
      </c>
      <c r="B380" s="1">
        <v>45588</v>
      </c>
      <c r="C380" s="1" t="s">
        <v>115</v>
      </c>
      <c r="D380" t="s">
        <v>116</v>
      </c>
      <c r="E380" t="s">
        <v>412</v>
      </c>
      <c r="F380" t="s">
        <v>413</v>
      </c>
      <c r="G380" t="s">
        <v>414</v>
      </c>
      <c r="H380" t="s">
        <v>27</v>
      </c>
      <c r="I380" t="s">
        <v>35</v>
      </c>
      <c r="J380" t="s">
        <v>36</v>
      </c>
      <c r="K380" t="s">
        <v>32</v>
      </c>
      <c r="L380" t="s">
        <v>23</v>
      </c>
      <c r="M380" t="str">
        <f>INDEX( dim_segment!$A$2:$A$5,MATCH(L380,  dim_segment!$B$2:$B$5, 0))</f>
        <v>SEG001</v>
      </c>
      <c r="N380" t="s">
        <v>28</v>
      </c>
      <c r="O380" s="2">
        <v>1</v>
      </c>
      <c r="P380" s="2">
        <v>45000</v>
      </c>
      <c r="Q380">
        <v>7.0000000000000007E-2</v>
      </c>
      <c r="R380" s="2">
        <v>41800</v>
      </c>
    </row>
    <row r="381" spans="1:18" x14ac:dyDescent="0.25">
      <c r="A381" t="s">
        <v>457</v>
      </c>
      <c r="B381" s="1">
        <v>45584</v>
      </c>
      <c r="C381" s="1" t="s">
        <v>115</v>
      </c>
      <c r="D381" t="s">
        <v>116</v>
      </c>
      <c r="E381" t="s">
        <v>412</v>
      </c>
      <c r="F381" t="s">
        <v>413</v>
      </c>
      <c r="G381" t="s">
        <v>414</v>
      </c>
      <c r="H381" t="s">
        <v>27</v>
      </c>
      <c r="I381" t="s">
        <v>24</v>
      </c>
      <c r="J381" t="s">
        <v>25</v>
      </c>
      <c r="K381" t="s">
        <v>26</v>
      </c>
      <c r="L381" t="s">
        <v>65</v>
      </c>
      <c r="M381" t="str">
        <f>INDEX( dim_segment!$A$2:$A$5,MATCH(L381,  dim_segment!$B$2:$B$5, 0))</f>
        <v>SEG003</v>
      </c>
      <c r="N381" t="s">
        <v>37</v>
      </c>
      <c r="O381" s="2">
        <v>5</v>
      </c>
      <c r="P381" s="2">
        <v>75000</v>
      </c>
      <c r="Q381">
        <v>0.01</v>
      </c>
      <c r="R381" s="2">
        <v>371200</v>
      </c>
    </row>
    <row r="382" spans="1:18" x14ac:dyDescent="0.25">
      <c r="A382" t="s">
        <v>458</v>
      </c>
      <c r="B382" s="1">
        <v>45587</v>
      </c>
      <c r="C382" s="1" t="s">
        <v>115</v>
      </c>
      <c r="D382" t="s">
        <v>116</v>
      </c>
      <c r="E382" t="s">
        <v>412</v>
      </c>
      <c r="F382" t="s">
        <v>413</v>
      </c>
      <c r="G382" t="s">
        <v>414</v>
      </c>
      <c r="H382" t="s">
        <v>27</v>
      </c>
      <c r="I382" t="s">
        <v>47</v>
      </c>
      <c r="J382" t="s">
        <v>48</v>
      </c>
      <c r="K382" t="s">
        <v>49</v>
      </c>
      <c r="L382" t="s">
        <v>27</v>
      </c>
      <c r="M382" t="str">
        <f>INDEX( dim_segment!$A$2:$A$5,MATCH(L382,  dim_segment!$B$2:$B$5, 0))</f>
        <v>SEG002</v>
      </c>
      <c r="N382" t="s">
        <v>54</v>
      </c>
      <c r="O382" s="2">
        <v>4</v>
      </c>
      <c r="P382" s="2">
        <v>200000</v>
      </c>
      <c r="Q382">
        <v>0.01</v>
      </c>
      <c r="R382" s="2">
        <v>792000</v>
      </c>
    </row>
    <row r="383" spans="1:18" x14ac:dyDescent="0.25">
      <c r="A383" t="s">
        <v>459</v>
      </c>
      <c r="B383" s="1">
        <v>45568</v>
      </c>
      <c r="C383" s="1" t="s">
        <v>115</v>
      </c>
      <c r="D383" t="s">
        <v>116</v>
      </c>
      <c r="E383" t="s">
        <v>412</v>
      </c>
      <c r="F383" t="s">
        <v>413</v>
      </c>
      <c r="G383" t="s">
        <v>414</v>
      </c>
      <c r="H383" t="s">
        <v>27</v>
      </c>
      <c r="I383" t="s">
        <v>30</v>
      </c>
      <c r="J383" t="s">
        <v>31</v>
      </c>
      <c r="K383" t="s">
        <v>32</v>
      </c>
      <c r="L383" t="s">
        <v>43</v>
      </c>
      <c r="M383" t="str">
        <f>INDEX( dim_segment!$A$2:$A$5,MATCH(L383,  dim_segment!$B$2:$B$5, 0))</f>
        <v>SEG004</v>
      </c>
      <c r="N383" t="s">
        <v>37</v>
      </c>
      <c r="O383" s="2">
        <v>1</v>
      </c>
      <c r="P383" s="2">
        <v>60000</v>
      </c>
      <c r="Q383">
        <v>0.1</v>
      </c>
      <c r="R383" s="2">
        <v>54000</v>
      </c>
    </row>
    <row r="384" spans="1:18" x14ac:dyDescent="0.25">
      <c r="A384" t="s">
        <v>460</v>
      </c>
      <c r="B384" s="1">
        <v>45587</v>
      </c>
      <c r="C384" s="1" t="s">
        <v>115</v>
      </c>
      <c r="D384" t="s">
        <v>116</v>
      </c>
      <c r="E384" t="s">
        <v>412</v>
      </c>
      <c r="F384" t="s">
        <v>413</v>
      </c>
      <c r="G384" t="s">
        <v>414</v>
      </c>
      <c r="H384" t="s">
        <v>27</v>
      </c>
      <c r="I384" t="s">
        <v>75</v>
      </c>
      <c r="J384" t="s">
        <v>76</v>
      </c>
      <c r="K384" t="s">
        <v>49</v>
      </c>
      <c r="L384" t="s">
        <v>27</v>
      </c>
      <c r="M384" t="str">
        <f>INDEX( dim_segment!$A$2:$A$5,MATCH(L384,  dim_segment!$B$2:$B$5, 0))</f>
        <v>SEG002</v>
      </c>
      <c r="N384" t="s">
        <v>33</v>
      </c>
      <c r="O384" s="2">
        <v>3</v>
      </c>
      <c r="P384" s="2">
        <v>120000</v>
      </c>
      <c r="Q384">
        <v>0.12</v>
      </c>
      <c r="R384" s="2">
        <v>316800</v>
      </c>
    </row>
    <row r="385" spans="1:18" x14ac:dyDescent="0.25">
      <c r="A385" t="s">
        <v>461</v>
      </c>
      <c r="B385" s="1">
        <v>45599</v>
      </c>
      <c r="C385" s="1" t="s">
        <v>125</v>
      </c>
      <c r="D385" t="s">
        <v>116</v>
      </c>
      <c r="E385" t="s">
        <v>412</v>
      </c>
      <c r="F385" t="s">
        <v>413</v>
      </c>
      <c r="G385" t="s">
        <v>414</v>
      </c>
      <c r="H385" t="s">
        <v>27</v>
      </c>
      <c r="I385" t="s">
        <v>51</v>
      </c>
      <c r="J385" t="s">
        <v>52</v>
      </c>
      <c r="K385" t="s">
        <v>42</v>
      </c>
      <c r="L385" t="s">
        <v>27</v>
      </c>
      <c r="M385" t="str">
        <f>INDEX( dim_segment!$A$2:$A$5,MATCH(L385,  dim_segment!$B$2:$B$5, 0))</f>
        <v>SEG002</v>
      </c>
      <c r="N385" t="s">
        <v>28</v>
      </c>
      <c r="O385" s="2">
        <v>4</v>
      </c>
      <c r="P385" s="2">
        <v>150000</v>
      </c>
      <c r="Q385">
        <v>0.04</v>
      </c>
      <c r="R385" s="2">
        <v>576000</v>
      </c>
    </row>
    <row r="386" spans="1:18" x14ac:dyDescent="0.25">
      <c r="A386" t="s">
        <v>462</v>
      </c>
      <c r="B386" s="1">
        <v>45614</v>
      </c>
      <c r="C386" s="1" t="s">
        <v>125</v>
      </c>
      <c r="D386" t="s">
        <v>116</v>
      </c>
      <c r="E386" t="s">
        <v>412</v>
      </c>
      <c r="F386" t="s">
        <v>413</v>
      </c>
      <c r="G386" t="s">
        <v>414</v>
      </c>
      <c r="H386" t="s">
        <v>27</v>
      </c>
      <c r="I386" t="s">
        <v>51</v>
      </c>
      <c r="J386" t="s">
        <v>52</v>
      </c>
      <c r="K386" t="s">
        <v>42</v>
      </c>
      <c r="L386" t="s">
        <v>23</v>
      </c>
      <c r="M386" t="str">
        <f>INDEX( dim_segment!$A$2:$A$5,MATCH(L386,  dim_segment!$B$2:$B$5, 0))</f>
        <v>SEG001</v>
      </c>
      <c r="N386" t="s">
        <v>37</v>
      </c>
      <c r="O386" s="2">
        <v>4</v>
      </c>
      <c r="P386" s="2">
        <v>150000</v>
      </c>
      <c r="Q386">
        <v>0.01</v>
      </c>
      <c r="R386" s="2">
        <v>594000</v>
      </c>
    </row>
    <row r="387" spans="1:18" x14ac:dyDescent="0.25">
      <c r="A387" t="s">
        <v>463</v>
      </c>
      <c r="B387" s="1">
        <v>45600</v>
      </c>
      <c r="C387" s="1" t="s">
        <v>125</v>
      </c>
      <c r="D387" t="s">
        <v>116</v>
      </c>
      <c r="E387" t="s">
        <v>412</v>
      </c>
      <c r="F387" t="s">
        <v>413</v>
      </c>
      <c r="G387" t="s">
        <v>414</v>
      </c>
      <c r="H387" t="s">
        <v>27</v>
      </c>
      <c r="I387" t="s">
        <v>24</v>
      </c>
      <c r="J387" t="s">
        <v>25</v>
      </c>
      <c r="K387" t="s">
        <v>26</v>
      </c>
      <c r="L387" t="s">
        <v>27</v>
      </c>
      <c r="M387" t="str">
        <f>INDEX( dim_segment!$A$2:$A$5,MATCH(L387,  dim_segment!$B$2:$B$5, 0))</f>
        <v>SEG002</v>
      </c>
      <c r="N387" t="s">
        <v>54</v>
      </c>
      <c r="O387" s="2">
        <v>4</v>
      </c>
      <c r="P387" s="2">
        <v>75000</v>
      </c>
      <c r="Q387">
        <v>0.08</v>
      </c>
      <c r="R387" s="2">
        <v>276000</v>
      </c>
    </row>
    <row r="388" spans="1:18" x14ac:dyDescent="0.25">
      <c r="A388" t="s">
        <v>464</v>
      </c>
      <c r="B388" s="1">
        <v>45623</v>
      </c>
      <c r="C388" s="1" t="s">
        <v>125</v>
      </c>
      <c r="D388" t="s">
        <v>116</v>
      </c>
      <c r="E388" t="s">
        <v>412</v>
      </c>
      <c r="F388" t="s">
        <v>413</v>
      </c>
      <c r="G388" t="s">
        <v>414</v>
      </c>
      <c r="H388" t="s">
        <v>27</v>
      </c>
      <c r="I388" t="s">
        <v>40</v>
      </c>
      <c r="J388" t="s">
        <v>41</v>
      </c>
      <c r="K388" t="s">
        <v>42</v>
      </c>
      <c r="L388" t="s">
        <v>65</v>
      </c>
      <c r="M388" t="str">
        <f>INDEX( dim_segment!$A$2:$A$5,MATCH(L388,  dim_segment!$B$2:$B$5, 0))</f>
        <v>SEG003</v>
      </c>
      <c r="N388" t="s">
        <v>28</v>
      </c>
      <c r="O388" s="2">
        <v>5</v>
      </c>
      <c r="P388" s="2">
        <v>85000</v>
      </c>
      <c r="Q388">
        <v>0.05</v>
      </c>
      <c r="R388" s="2">
        <v>403800</v>
      </c>
    </row>
    <row r="389" spans="1:18" x14ac:dyDescent="0.25">
      <c r="A389" t="s">
        <v>465</v>
      </c>
      <c r="B389" s="1">
        <v>45608</v>
      </c>
      <c r="C389" s="1" t="s">
        <v>125</v>
      </c>
      <c r="D389" t="s">
        <v>116</v>
      </c>
      <c r="E389" t="s">
        <v>412</v>
      </c>
      <c r="F389" t="s">
        <v>413</v>
      </c>
      <c r="G389" t="s">
        <v>414</v>
      </c>
      <c r="H389" t="s">
        <v>27</v>
      </c>
      <c r="I389" t="s">
        <v>47</v>
      </c>
      <c r="J389" t="s">
        <v>48</v>
      </c>
      <c r="K389" t="s">
        <v>49</v>
      </c>
      <c r="L389" t="s">
        <v>65</v>
      </c>
      <c r="M389" t="str">
        <f>INDEX( dim_segment!$A$2:$A$5,MATCH(L389,  dim_segment!$B$2:$B$5, 0))</f>
        <v>SEG003</v>
      </c>
      <c r="N389" t="s">
        <v>37</v>
      </c>
      <c r="O389" s="2">
        <v>2</v>
      </c>
      <c r="P389" s="2">
        <v>200000</v>
      </c>
      <c r="Q389">
        <v>0.01</v>
      </c>
      <c r="R389" s="2">
        <v>396000</v>
      </c>
    </row>
    <row r="390" spans="1:18" x14ac:dyDescent="0.25">
      <c r="A390" t="s">
        <v>466</v>
      </c>
      <c r="B390" s="1">
        <v>45616</v>
      </c>
      <c r="C390" s="1" t="s">
        <v>125</v>
      </c>
      <c r="D390" t="s">
        <v>116</v>
      </c>
      <c r="E390" t="s">
        <v>412</v>
      </c>
      <c r="F390" t="s">
        <v>413</v>
      </c>
      <c r="G390" t="s">
        <v>414</v>
      </c>
      <c r="H390" t="s">
        <v>27</v>
      </c>
      <c r="I390" t="s">
        <v>30</v>
      </c>
      <c r="J390" t="s">
        <v>31</v>
      </c>
      <c r="K390" t="s">
        <v>32</v>
      </c>
      <c r="L390" t="s">
        <v>27</v>
      </c>
      <c r="M390" t="str">
        <f>INDEX( dim_segment!$A$2:$A$5,MATCH(L390,  dim_segment!$B$2:$B$5, 0))</f>
        <v>SEG002</v>
      </c>
      <c r="N390" t="s">
        <v>33</v>
      </c>
      <c r="O390" s="2">
        <v>4</v>
      </c>
      <c r="P390" s="2">
        <v>60000</v>
      </c>
      <c r="Q390">
        <v>0.02</v>
      </c>
      <c r="R390" s="2">
        <v>235200</v>
      </c>
    </row>
    <row r="391" spans="1:18" x14ac:dyDescent="0.25">
      <c r="A391" t="s">
        <v>467</v>
      </c>
      <c r="B391" s="1">
        <v>45622</v>
      </c>
      <c r="C391" s="1" t="s">
        <v>125</v>
      </c>
      <c r="D391" t="s">
        <v>116</v>
      </c>
      <c r="E391" t="s">
        <v>412</v>
      </c>
      <c r="F391" t="s">
        <v>413</v>
      </c>
      <c r="G391" t="s">
        <v>414</v>
      </c>
      <c r="H391" t="s">
        <v>27</v>
      </c>
      <c r="I391" t="s">
        <v>51</v>
      </c>
      <c r="J391" t="s">
        <v>52</v>
      </c>
      <c r="K391" t="s">
        <v>42</v>
      </c>
      <c r="L391" t="s">
        <v>23</v>
      </c>
      <c r="M391" t="str">
        <f>INDEX( dim_segment!$A$2:$A$5,MATCH(L391,  dim_segment!$B$2:$B$5, 0))</f>
        <v>SEG001</v>
      </c>
      <c r="N391" t="s">
        <v>54</v>
      </c>
      <c r="O391" s="2">
        <v>2</v>
      </c>
      <c r="P391" s="2">
        <v>150000</v>
      </c>
      <c r="Q391">
        <v>0.11</v>
      </c>
      <c r="R391" s="2">
        <v>267000</v>
      </c>
    </row>
    <row r="392" spans="1:18" x14ac:dyDescent="0.25">
      <c r="A392" t="s">
        <v>468</v>
      </c>
      <c r="B392" s="1">
        <v>45635</v>
      </c>
      <c r="C392" s="1" t="s">
        <v>134</v>
      </c>
      <c r="D392" t="s">
        <v>116</v>
      </c>
      <c r="E392" t="s">
        <v>412</v>
      </c>
      <c r="F392" t="s">
        <v>413</v>
      </c>
      <c r="G392" t="s">
        <v>414</v>
      </c>
      <c r="H392" t="s">
        <v>27</v>
      </c>
      <c r="I392" t="s">
        <v>47</v>
      </c>
      <c r="J392" t="s">
        <v>48</v>
      </c>
      <c r="K392" t="s">
        <v>49</v>
      </c>
      <c r="L392" t="s">
        <v>23</v>
      </c>
      <c r="M392" t="str">
        <f>INDEX( dim_segment!$A$2:$A$5,MATCH(L392,  dim_segment!$B$2:$B$5, 0))</f>
        <v>SEG001</v>
      </c>
      <c r="N392" t="s">
        <v>28</v>
      </c>
      <c r="O392" s="2">
        <v>3</v>
      </c>
      <c r="P392" s="2">
        <v>200000</v>
      </c>
      <c r="Q392">
        <v>0.03</v>
      </c>
      <c r="R392" s="2">
        <v>582000</v>
      </c>
    </row>
    <row r="393" spans="1:18" x14ac:dyDescent="0.25">
      <c r="A393" t="s">
        <v>469</v>
      </c>
      <c r="B393" s="1">
        <v>45629</v>
      </c>
      <c r="C393" s="1" t="s">
        <v>134</v>
      </c>
      <c r="D393" t="s">
        <v>116</v>
      </c>
      <c r="E393" t="s">
        <v>412</v>
      </c>
      <c r="F393" t="s">
        <v>413</v>
      </c>
      <c r="G393" t="s">
        <v>414</v>
      </c>
      <c r="H393" t="s">
        <v>27</v>
      </c>
      <c r="I393" t="s">
        <v>40</v>
      </c>
      <c r="J393" t="s">
        <v>41</v>
      </c>
      <c r="K393" t="s">
        <v>42</v>
      </c>
      <c r="L393" t="s">
        <v>43</v>
      </c>
      <c r="M393" t="str">
        <f>INDEX( dim_segment!$A$2:$A$5,MATCH(L393,  dim_segment!$B$2:$B$5, 0))</f>
        <v>SEG004</v>
      </c>
      <c r="N393" t="s">
        <v>28</v>
      </c>
      <c r="O393" s="2">
        <v>4</v>
      </c>
      <c r="P393" s="2">
        <v>85000</v>
      </c>
      <c r="Q393">
        <v>0.03</v>
      </c>
      <c r="R393" s="2">
        <v>329800</v>
      </c>
    </row>
    <row r="394" spans="1:18" x14ac:dyDescent="0.25">
      <c r="A394" t="s">
        <v>470</v>
      </c>
      <c r="B394" s="1">
        <v>45645</v>
      </c>
      <c r="C394" s="1" t="s">
        <v>134</v>
      </c>
      <c r="D394" t="s">
        <v>116</v>
      </c>
      <c r="E394" t="s">
        <v>412</v>
      </c>
      <c r="F394" t="s">
        <v>413</v>
      </c>
      <c r="G394" t="s">
        <v>414</v>
      </c>
      <c r="H394" t="s">
        <v>27</v>
      </c>
      <c r="I394" t="s">
        <v>51</v>
      </c>
      <c r="J394" t="s">
        <v>52</v>
      </c>
      <c r="K394" t="s">
        <v>42</v>
      </c>
      <c r="L394" t="s">
        <v>23</v>
      </c>
      <c r="M394" t="str">
        <f>INDEX( dim_segment!$A$2:$A$5,MATCH(L394,  dim_segment!$B$2:$B$5, 0))</f>
        <v>SEG001</v>
      </c>
      <c r="N394" t="s">
        <v>33</v>
      </c>
      <c r="O394" s="2">
        <v>1</v>
      </c>
      <c r="P394" s="2">
        <v>150000</v>
      </c>
      <c r="Q394">
        <v>0.1</v>
      </c>
      <c r="R394" s="2">
        <v>135000</v>
      </c>
    </row>
    <row r="395" spans="1:18" x14ac:dyDescent="0.25">
      <c r="A395" t="s">
        <v>471</v>
      </c>
      <c r="B395" s="1">
        <v>45638</v>
      </c>
      <c r="C395" s="1" t="s">
        <v>134</v>
      </c>
      <c r="D395" t="s">
        <v>116</v>
      </c>
      <c r="E395" t="s">
        <v>412</v>
      </c>
      <c r="F395" t="s">
        <v>413</v>
      </c>
      <c r="G395" t="s">
        <v>414</v>
      </c>
      <c r="H395" t="s">
        <v>27</v>
      </c>
      <c r="I395" t="s">
        <v>51</v>
      </c>
      <c r="J395" t="s">
        <v>52</v>
      </c>
      <c r="K395" t="s">
        <v>42</v>
      </c>
      <c r="L395" t="s">
        <v>23</v>
      </c>
      <c r="M395" t="str">
        <f>INDEX( dim_segment!$A$2:$A$5,MATCH(L395,  dim_segment!$B$2:$B$5, 0))</f>
        <v>SEG001</v>
      </c>
      <c r="N395" t="s">
        <v>33</v>
      </c>
      <c r="O395" s="2">
        <v>1</v>
      </c>
      <c r="P395" s="2">
        <v>150000</v>
      </c>
      <c r="Q395">
        <v>0.01</v>
      </c>
      <c r="R395" s="2">
        <v>148500</v>
      </c>
    </row>
    <row r="396" spans="1:18" x14ac:dyDescent="0.25">
      <c r="A396" t="s">
        <v>472</v>
      </c>
      <c r="B396" s="1">
        <v>45632</v>
      </c>
      <c r="C396" s="1" t="s">
        <v>134</v>
      </c>
      <c r="D396" t="s">
        <v>116</v>
      </c>
      <c r="E396" t="s">
        <v>412</v>
      </c>
      <c r="F396" t="s">
        <v>413</v>
      </c>
      <c r="G396" t="s">
        <v>414</v>
      </c>
      <c r="H396" t="s">
        <v>27</v>
      </c>
      <c r="I396" t="s">
        <v>51</v>
      </c>
      <c r="J396" t="s">
        <v>52</v>
      </c>
      <c r="K396" t="s">
        <v>42</v>
      </c>
      <c r="L396" t="s">
        <v>65</v>
      </c>
      <c r="M396" t="str">
        <f>INDEX( dim_segment!$A$2:$A$5,MATCH(L396,  dim_segment!$B$2:$B$5, 0))</f>
        <v>SEG003</v>
      </c>
      <c r="N396" t="s">
        <v>28</v>
      </c>
      <c r="O396" s="2">
        <v>5</v>
      </c>
      <c r="P396" s="2">
        <v>150000</v>
      </c>
      <c r="Q396">
        <v>0.08</v>
      </c>
      <c r="R396" s="2">
        <v>690000</v>
      </c>
    </row>
    <row r="397" spans="1:18" x14ac:dyDescent="0.25">
      <c r="A397" t="s">
        <v>473</v>
      </c>
      <c r="B397" s="1">
        <v>45638</v>
      </c>
      <c r="C397" s="1" t="s">
        <v>134</v>
      </c>
      <c r="D397" t="s">
        <v>116</v>
      </c>
      <c r="E397" t="s">
        <v>412</v>
      </c>
      <c r="F397" t="s">
        <v>413</v>
      </c>
      <c r="G397" t="s">
        <v>414</v>
      </c>
      <c r="H397" t="s">
        <v>27</v>
      </c>
      <c r="I397" t="s">
        <v>51</v>
      </c>
      <c r="J397" t="s">
        <v>52</v>
      </c>
      <c r="K397" t="s">
        <v>42</v>
      </c>
      <c r="L397" t="s">
        <v>27</v>
      </c>
      <c r="M397" t="str">
        <f>INDEX( dim_segment!$A$2:$A$5,MATCH(L397,  dim_segment!$B$2:$B$5, 0))</f>
        <v>SEG002</v>
      </c>
      <c r="N397" t="s">
        <v>54</v>
      </c>
      <c r="O397" s="2">
        <v>1</v>
      </c>
      <c r="P397" s="2">
        <v>150000</v>
      </c>
      <c r="Q397">
        <v>0.09</v>
      </c>
      <c r="R397" s="2">
        <v>136500</v>
      </c>
    </row>
    <row r="398" spans="1:18" x14ac:dyDescent="0.25">
      <c r="A398" t="s">
        <v>474</v>
      </c>
      <c r="B398" s="1">
        <v>45305</v>
      </c>
      <c r="C398" s="1" t="s">
        <v>18</v>
      </c>
      <c r="D398" t="s">
        <v>19</v>
      </c>
      <c r="E398" t="s">
        <v>475</v>
      </c>
      <c r="F398" t="s">
        <v>476</v>
      </c>
      <c r="G398" t="s">
        <v>477</v>
      </c>
      <c r="H398" t="s">
        <v>27</v>
      </c>
      <c r="I398" t="s">
        <v>60</v>
      </c>
      <c r="J398" t="s">
        <v>61</v>
      </c>
      <c r="K398" t="s">
        <v>26</v>
      </c>
      <c r="L398" t="s">
        <v>27</v>
      </c>
      <c r="M398" t="str">
        <f>INDEX( dim_segment!$A$2:$A$5,MATCH(L398,  dim_segment!$B$2:$B$5, 0))</f>
        <v>SEG002</v>
      </c>
      <c r="N398" t="s">
        <v>37</v>
      </c>
      <c r="O398" s="2">
        <v>4</v>
      </c>
      <c r="P398" s="2">
        <v>95000</v>
      </c>
      <c r="Q398">
        <v>0.11</v>
      </c>
      <c r="R398" s="2">
        <v>338200</v>
      </c>
    </row>
    <row r="399" spans="1:18" x14ac:dyDescent="0.25">
      <c r="A399" t="s">
        <v>478</v>
      </c>
      <c r="B399" s="1">
        <v>45307</v>
      </c>
      <c r="C399" s="1" t="s">
        <v>18</v>
      </c>
      <c r="D399" t="s">
        <v>19</v>
      </c>
      <c r="E399" t="s">
        <v>475</v>
      </c>
      <c r="F399" t="s">
        <v>476</v>
      </c>
      <c r="G399" t="s">
        <v>477</v>
      </c>
      <c r="H399" t="s">
        <v>27</v>
      </c>
      <c r="I399" t="s">
        <v>35</v>
      </c>
      <c r="J399" t="s">
        <v>36</v>
      </c>
      <c r="K399" t="s">
        <v>32</v>
      </c>
      <c r="L399" t="s">
        <v>23</v>
      </c>
      <c r="M399" t="str">
        <f>INDEX( dim_segment!$A$2:$A$5,MATCH(L399,  dim_segment!$B$2:$B$5, 0))</f>
        <v>SEG001</v>
      </c>
      <c r="N399" t="s">
        <v>54</v>
      </c>
      <c r="O399" s="2">
        <v>4</v>
      </c>
      <c r="P399" s="2">
        <v>45000</v>
      </c>
      <c r="Q399">
        <v>0.02</v>
      </c>
      <c r="R399" s="2">
        <v>176400</v>
      </c>
    </row>
    <row r="400" spans="1:18" x14ac:dyDescent="0.25">
      <c r="A400" t="s">
        <v>479</v>
      </c>
      <c r="B400" s="1">
        <v>45303</v>
      </c>
      <c r="C400" s="1" t="s">
        <v>18</v>
      </c>
      <c r="D400" t="s">
        <v>19</v>
      </c>
      <c r="E400" t="s">
        <v>475</v>
      </c>
      <c r="F400" t="s">
        <v>476</v>
      </c>
      <c r="G400" t="s">
        <v>477</v>
      </c>
      <c r="H400" t="s">
        <v>27</v>
      </c>
      <c r="I400" t="s">
        <v>75</v>
      </c>
      <c r="J400" t="s">
        <v>76</v>
      </c>
      <c r="K400" t="s">
        <v>49</v>
      </c>
      <c r="L400" t="s">
        <v>27</v>
      </c>
      <c r="M400" t="str">
        <f>INDEX( dim_segment!$A$2:$A$5,MATCH(L400,  dim_segment!$B$2:$B$5, 0))</f>
        <v>SEG002</v>
      </c>
      <c r="N400" t="s">
        <v>54</v>
      </c>
      <c r="O400" s="2">
        <v>2</v>
      </c>
      <c r="P400" s="2">
        <v>120000</v>
      </c>
      <c r="Q400">
        <v>7.0000000000000007E-2</v>
      </c>
      <c r="R400" s="2">
        <v>223200</v>
      </c>
    </row>
    <row r="401" spans="1:18" x14ac:dyDescent="0.25">
      <c r="A401" t="s">
        <v>480</v>
      </c>
      <c r="B401" s="1">
        <v>45350</v>
      </c>
      <c r="C401" s="1" t="s">
        <v>46</v>
      </c>
      <c r="D401" t="s">
        <v>19</v>
      </c>
      <c r="E401" t="s">
        <v>475</v>
      </c>
      <c r="F401" t="s">
        <v>476</v>
      </c>
      <c r="G401" t="s">
        <v>477</v>
      </c>
      <c r="H401" t="s">
        <v>27</v>
      </c>
      <c r="I401" t="s">
        <v>75</v>
      </c>
      <c r="J401" t="s">
        <v>76</v>
      </c>
      <c r="K401" t="s">
        <v>49</v>
      </c>
      <c r="L401" t="s">
        <v>27</v>
      </c>
      <c r="M401" t="str">
        <f>INDEX( dim_segment!$A$2:$A$5,MATCH(L401,  dim_segment!$B$2:$B$5, 0))</f>
        <v>SEG002</v>
      </c>
      <c r="N401" t="s">
        <v>37</v>
      </c>
      <c r="O401" s="2">
        <v>5</v>
      </c>
      <c r="P401" s="2">
        <v>120000</v>
      </c>
      <c r="Q401">
        <v>0.05</v>
      </c>
      <c r="R401" s="2">
        <v>570000</v>
      </c>
    </row>
    <row r="402" spans="1:18" x14ac:dyDescent="0.25">
      <c r="A402" t="s">
        <v>481</v>
      </c>
      <c r="B402" s="1">
        <v>45324</v>
      </c>
      <c r="C402" s="1" t="s">
        <v>46</v>
      </c>
      <c r="D402" t="s">
        <v>19</v>
      </c>
      <c r="E402" t="s">
        <v>475</v>
      </c>
      <c r="F402" t="s">
        <v>476</v>
      </c>
      <c r="G402" t="s">
        <v>477</v>
      </c>
      <c r="H402" t="s">
        <v>27</v>
      </c>
      <c r="I402" t="s">
        <v>35</v>
      </c>
      <c r="J402" t="s">
        <v>36</v>
      </c>
      <c r="K402" t="s">
        <v>32</v>
      </c>
      <c r="L402" t="s">
        <v>27</v>
      </c>
      <c r="M402" t="str">
        <f>INDEX( dim_segment!$A$2:$A$5,MATCH(L402,  dim_segment!$B$2:$B$5, 0))</f>
        <v>SEG002</v>
      </c>
      <c r="N402" t="s">
        <v>33</v>
      </c>
      <c r="O402" s="2">
        <v>3</v>
      </c>
      <c r="P402" s="2">
        <v>45000</v>
      </c>
      <c r="Q402">
        <v>0.01</v>
      </c>
      <c r="R402" s="2">
        <v>133600</v>
      </c>
    </row>
    <row r="403" spans="1:18" x14ac:dyDescent="0.25">
      <c r="A403" t="s">
        <v>482</v>
      </c>
      <c r="B403" s="1">
        <v>45325</v>
      </c>
      <c r="C403" s="1" t="s">
        <v>46</v>
      </c>
      <c r="D403" t="s">
        <v>19</v>
      </c>
      <c r="E403" t="s">
        <v>475</v>
      </c>
      <c r="F403" t="s">
        <v>476</v>
      </c>
      <c r="G403" t="s">
        <v>477</v>
      </c>
      <c r="H403" t="s">
        <v>27</v>
      </c>
      <c r="I403" t="s">
        <v>60</v>
      </c>
      <c r="J403" t="s">
        <v>61</v>
      </c>
      <c r="K403" t="s">
        <v>26</v>
      </c>
      <c r="L403" t="s">
        <v>27</v>
      </c>
      <c r="M403" t="str">
        <f>INDEX( dim_segment!$A$2:$A$5,MATCH(L403,  dim_segment!$B$2:$B$5, 0))</f>
        <v>SEG002</v>
      </c>
      <c r="N403" t="s">
        <v>37</v>
      </c>
      <c r="O403" s="2">
        <v>1</v>
      </c>
      <c r="P403" s="2">
        <v>95000</v>
      </c>
      <c r="Q403">
        <v>0.11</v>
      </c>
      <c r="R403" s="2">
        <v>84600</v>
      </c>
    </row>
    <row r="404" spans="1:18" x14ac:dyDescent="0.25">
      <c r="A404" t="s">
        <v>483</v>
      </c>
      <c r="B404" s="1">
        <v>45354</v>
      </c>
      <c r="C404" s="1" t="s">
        <v>56</v>
      </c>
      <c r="D404" t="s">
        <v>19</v>
      </c>
      <c r="E404" t="s">
        <v>475</v>
      </c>
      <c r="F404" t="s">
        <v>476</v>
      </c>
      <c r="G404" t="s">
        <v>477</v>
      </c>
      <c r="H404" t="s">
        <v>27</v>
      </c>
      <c r="I404" t="s">
        <v>60</v>
      </c>
      <c r="J404" t="s">
        <v>61</v>
      </c>
      <c r="K404" t="s">
        <v>26</v>
      </c>
      <c r="L404" t="s">
        <v>65</v>
      </c>
      <c r="M404" t="str">
        <f>INDEX( dim_segment!$A$2:$A$5,MATCH(L404,  dim_segment!$B$2:$B$5, 0))</f>
        <v>SEG003</v>
      </c>
      <c r="N404" t="s">
        <v>37</v>
      </c>
      <c r="O404" s="2">
        <v>5</v>
      </c>
      <c r="P404" s="2">
        <v>95000</v>
      </c>
      <c r="Q404">
        <v>0.12</v>
      </c>
      <c r="R404" s="2">
        <v>418000</v>
      </c>
    </row>
    <row r="405" spans="1:18" x14ac:dyDescent="0.25">
      <c r="A405" t="s">
        <v>484</v>
      </c>
      <c r="B405" s="1">
        <v>45374</v>
      </c>
      <c r="C405" s="1" t="s">
        <v>56</v>
      </c>
      <c r="D405" t="s">
        <v>19</v>
      </c>
      <c r="E405" t="s">
        <v>475</v>
      </c>
      <c r="F405" t="s">
        <v>476</v>
      </c>
      <c r="G405" t="s">
        <v>477</v>
      </c>
      <c r="H405" t="s">
        <v>27</v>
      </c>
      <c r="I405" t="s">
        <v>30</v>
      </c>
      <c r="J405" t="s">
        <v>31</v>
      </c>
      <c r="K405" t="s">
        <v>32</v>
      </c>
      <c r="L405" t="s">
        <v>43</v>
      </c>
      <c r="M405" t="str">
        <f>INDEX( dim_segment!$A$2:$A$5,MATCH(L405,  dim_segment!$B$2:$B$5, 0))</f>
        <v>SEG004</v>
      </c>
      <c r="N405" t="s">
        <v>28</v>
      </c>
      <c r="O405" s="2">
        <v>1</v>
      </c>
      <c r="P405" s="2">
        <v>60000</v>
      </c>
      <c r="Q405">
        <v>0.02</v>
      </c>
      <c r="R405" s="2">
        <v>58800</v>
      </c>
    </row>
    <row r="406" spans="1:18" x14ac:dyDescent="0.25">
      <c r="A406" t="s">
        <v>485</v>
      </c>
      <c r="B406" s="1">
        <v>45361</v>
      </c>
      <c r="C406" s="1" t="s">
        <v>56</v>
      </c>
      <c r="D406" t="s">
        <v>19</v>
      </c>
      <c r="E406" t="s">
        <v>475</v>
      </c>
      <c r="F406" t="s">
        <v>476</v>
      </c>
      <c r="G406" t="s">
        <v>477</v>
      </c>
      <c r="H406" t="s">
        <v>27</v>
      </c>
      <c r="I406" t="s">
        <v>60</v>
      </c>
      <c r="J406" t="s">
        <v>61</v>
      </c>
      <c r="K406" t="s">
        <v>26</v>
      </c>
      <c r="L406" t="s">
        <v>23</v>
      </c>
      <c r="M406" t="str">
        <f>INDEX( dim_segment!$A$2:$A$5,MATCH(L406,  dim_segment!$B$2:$B$5, 0))</f>
        <v>SEG001</v>
      </c>
      <c r="N406" t="s">
        <v>37</v>
      </c>
      <c r="O406" s="2">
        <v>2</v>
      </c>
      <c r="P406" s="2">
        <v>95000</v>
      </c>
      <c r="Q406">
        <v>0.05</v>
      </c>
      <c r="R406" s="2">
        <v>180500</v>
      </c>
    </row>
    <row r="407" spans="1:18" x14ac:dyDescent="0.25">
      <c r="A407" t="s">
        <v>486</v>
      </c>
      <c r="B407" s="1">
        <v>45360</v>
      </c>
      <c r="C407" s="1" t="s">
        <v>56</v>
      </c>
      <c r="D407" t="s">
        <v>19</v>
      </c>
      <c r="E407" t="s">
        <v>475</v>
      </c>
      <c r="F407" t="s">
        <v>476</v>
      </c>
      <c r="G407" t="s">
        <v>477</v>
      </c>
      <c r="H407" t="s">
        <v>27</v>
      </c>
      <c r="I407" t="s">
        <v>30</v>
      </c>
      <c r="J407" t="s">
        <v>31</v>
      </c>
      <c r="K407" t="s">
        <v>32</v>
      </c>
      <c r="L407" t="s">
        <v>43</v>
      </c>
      <c r="M407" t="str">
        <f>INDEX( dim_segment!$A$2:$A$5,MATCH(L407,  dim_segment!$B$2:$B$5, 0))</f>
        <v>SEG004</v>
      </c>
      <c r="N407" t="s">
        <v>37</v>
      </c>
      <c r="O407" s="2">
        <v>1</v>
      </c>
      <c r="P407" s="2">
        <v>60000</v>
      </c>
      <c r="Q407">
        <v>0.1</v>
      </c>
      <c r="R407" s="2">
        <v>54000</v>
      </c>
    </row>
    <row r="408" spans="1:18" x14ac:dyDescent="0.25">
      <c r="A408" t="s">
        <v>487</v>
      </c>
      <c r="B408" s="1">
        <v>45366</v>
      </c>
      <c r="C408" s="1" t="s">
        <v>56</v>
      </c>
      <c r="D408" t="s">
        <v>19</v>
      </c>
      <c r="E408" t="s">
        <v>475</v>
      </c>
      <c r="F408" t="s">
        <v>476</v>
      </c>
      <c r="G408" t="s">
        <v>477</v>
      </c>
      <c r="H408" t="s">
        <v>27</v>
      </c>
      <c r="I408" t="s">
        <v>30</v>
      </c>
      <c r="J408" t="s">
        <v>31</v>
      </c>
      <c r="K408" t="s">
        <v>32</v>
      </c>
      <c r="L408" t="s">
        <v>27</v>
      </c>
      <c r="M408" t="str">
        <f>INDEX( dim_segment!$A$2:$A$5,MATCH(L408,  dim_segment!$B$2:$B$5, 0))</f>
        <v>SEG002</v>
      </c>
      <c r="N408" t="s">
        <v>33</v>
      </c>
      <c r="O408" s="2">
        <v>4</v>
      </c>
      <c r="P408" s="2">
        <v>60000</v>
      </c>
      <c r="Q408">
        <v>0.11</v>
      </c>
      <c r="R408" s="2">
        <v>213600</v>
      </c>
    </row>
    <row r="409" spans="1:18" x14ac:dyDescent="0.25">
      <c r="A409" t="s">
        <v>488</v>
      </c>
      <c r="B409" s="1">
        <v>45397</v>
      </c>
      <c r="C409" s="1" t="s">
        <v>67</v>
      </c>
      <c r="D409" t="s">
        <v>68</v>
      </c>
      <c r="E409" t="s">
        <v>475</v>
      </c>
      <c r="F409" t="s">
        <v>476</v>
      </c>
      <c r="G409" t="s">
        <v>477</v>
      </c>
      <c r="H409" t="s">
        <v>27</v>
      </c>
      <c r="I409" t="s">
        <v>35</v>
      </c>
      <c r="J409" t="s">
        <v>36</v>
      </c>
      <c r="K409" t="s">
        <v>32</v>
      </c>
      <c r="L409" t="s">
        <v>43</v>
      </c>
      <c r="M409" t="str">
        <f>INDEX( dim_segment!$A$2:$A$5,MATCH(L409,  dim_segment!$B$2:$B$5, 0))</f>
        <v>SEG004</v>
      </c>
      <c r="N409" t="s">
        <v>33</v>
      </c>
      <c r="O409" s="2">
        <v>1</v>
      </c>
      <c r="P409" s="2">
        <v>45000</v>
      </c>
      <c r="Q409">
        <v>0.09</v>
      </c>
      <c r="R409" s="2">
        <v>41000</v>
      </c>
    </row>
    <row r="410" spans="1:18" x14ac:dyDescent="0.25">
      <c r="A410" t="s">
        <v>489</v>
      </c>
      <c r="B410" s="1">
        <v>45397</v>
      </c>
      <c r="C410" s="1" t="s">
        <v>67</v>
      </c>
      <c r="D410" t="s">
        <v>68</v>
      </c>
      <c r="E410" t="s">
        <v>475</v>
      </c>
      <c r="F410" t="s">
        <v>476</v>
      </c>
      <c r="G410" t="s">
        <v>477</v>
      </c>
      <c r="H410" t="s">
        <v>27</v>
      </c>
      <c r="I410" t="s">
        <v>35</v>
      </c>
      <c r="J410" t="s">
        <v>36</v>
      </c>
      <c r="K410" t="s">
        <v>32</v>
      </c>
      <c r="L410" t="s">
        <v>27</v>
      </c>
      <c r="M410" t="str">
        <f>INDEX( dim_segment!$A$2:$A$5,MATCH(L410,  dim_segment!$B$2:$B$5, 0))</f>
        <v>SEG002</v>
      </c>
      <c r="N410" t="s">
        <v>28</v>
      </c>
      <c r="O410" s="2">
        <v>1</v>
      </c>
      <c r="P410" s="2">
        <v>45000</v>
      </c>
      <c r="Q410">
        <v>0.08</v>
      </c>
      <c r="R410" s="2">
        <v>41400</v>
      </c>
    </row>
    <row r="411" spans="1:18" x14ac:dyDescent="0.25">
      <c r="A411" t="s">
        <v>490</v>
      </c>
      <c r="B411" s="1">
        <v>45388</v>
      </c>
      <c r="C411" s="1" t="s">
        <v>67</v>
      </c>
      <c r="D411" t="s">
        <v>68</v>
      </c>
      <c r="E411" t="s">
        <v>475</v>
      </c>
      <c r="F411" t="s">
        <v>476</v>
      </c>
      <c r="G411" t="s">
        <v>477</v>
      </c>
      <c r="H411" t="s">
        <v>27</v>
      </c>
      <c r="I411" t="s">
        <v>35</v>
      </c>
      <c r="J411" t="s">
        <v>36</v>
      </c>
      <c r="K411" t="s">
        <v>32</v>
      </c>
      <c r="L411" t="s">
        <v>27</v>
      </c>
      <c r="M411" t="str">
        <f>INDEX( dim_segment!$A$2:$A$5,MATCH(L411,  dim_segment!$B$2:$B$5, 0))</f>
        <v>SEG002</v>
      </c>
      <c r="N411" t="s">
        <v>33</v>
      </c>
      <c r="O411" s="2">
        <v>3</v>
      </c>
      <c r="P411" s="2">
        <v>45000</v>
      </c>
      <c r="Q411">
        <v>0.06</v>
      </c>
      <c r="R411" s="2">
        <v>126900</v>
      </c>
    </row>
    <row r="412" spans="1:18" x14ac:dyDescent="0.25">
      <c r="A412" t="s">
        <v>491</v>
      </c>
      <c r="B412" s="1">
        <v>45384</v>
      </c>
      <c r="C412" s="1" t="s">
        <v>67</v>
      </c>
      <c r="D412" t="s">
        <v>68</v>
      </c>
      <c r="E412" t="s">
        <v>475</v>
      </c>
      <c r="F412" t="s">
        <v>476</v>
      </c>
      <c r="G412" t="s">
        <v>477</v>
      </c>
      <c r="H412" t="s">
        <v>27</v>
      </c>
      <c r="I412" t="s">
        <v>60</v>
      </c>
      <c r="J412" t="s">
        <v>61</v>
      </c>
      <c r="K412" t="s">
        <v>26</v>
      </c>
      <c r="L412" t="s">
        <v>27</v>
      </c>
      <c r="M412" t="str">
        <f>INDEX( dim_segment!$A$2:$A$5,MATCH(L412,  dim_segment!$B$2:$B$5, 0))</f>
        <v>SEG002</v>
      </c>
      <c r="N412" t="s">
        <v>37</v>
      </c>
      <c r="O412" s="2">
        <v>5</v>
      </c>
      <c r="P412" s="2">
        <v>95000</v>
      </c>
      <c r="Q412">
        <v>0.02</v>
      </c>
      <c r="R412" s="2">
        <v>465500</v>
      </c>
    </row>
    <row r="413" spans="1:18" x14ac:dyDescent="0.25">
      <c r="A413" t="s">
        <v>492</v>
      </c>
      <c r="B413" s="1">
        <v>45425</v>
      </c>
      <c r="C413" s="1" t="s">
        <v>78</v>
      </c>
      <c r="D413" t="s">
        <v>68</v>
      </c>
      <c r="E413" t="s">
        <v>475</v>
      </c>
      <c r="F413" t="s">
        <v>476</v>
      </c>
      <c r="G413" t="s">
        <v>477</v>
      </c>
      <c r="H413" t="s">
        <v>27</v>
      </c>
      <c r="I413" t="s">
        <v>40</v>
      </c>
      <c r="J413" t="s">
        <v>41</v>
      </c>
      <c r="K413" t="s">
        <v>42</v>
      </c>
      <c r="L413" t="s">
        <v>43</v>
      </c>
      <c r="M413" t="str">
        <f>INDEX( dim_segment!$A$2:$A$5,MATCH(L413,  dim_segment!$B$2:$B$5, 0))</f>
        <v>SEG004</v>
      </c>
      <c r="N413" t="s">
        <v>54</v>
      </c>
      <c r="O413" s="2">
        <v>1</v>
      </c>
      <c r="P413" s="2">
        <v>85000</v>
      </c>
      <c r="Q413">
        <v>0.02</v>
      </c>
      <c r="R413" s="2">
        <v>83300</v>
      </c>
    </row>
    <row r="414" spans="1:18" x14ac:dyDescent="0.25">
      <c r="A414" t="s">
        <v>493</v>
      </c>
      <c r="B414" s="1">
        <v>45416</v>
      </c>
      <c r="C414" s="1" t="s">
        <v>78</v>
      </c>
      <c r="D414" t="s">
        <v>68</v>
      </c>
      <c r="E414" t="s">
        <v>475</v>
      </c>
      <c r="F414" t="s">
        <v>476</v>
      </c>
      <c r="G414" t="s">
        <v>477</v>
      </c>
      <c r="H414" t="s">
        <v>27</v>
      </c>
      <c r="I414" t="s">
        <v>40</v>
      </c>
      <c r="J414" t="s">
        <v>41</v>
      </c>
      <c r="K414" t="s">
        <v>42</v>
      </c>
      <c r="L414" t="s">
        <v>23</v>
      </c>
      <c r="M414" t="str">
        <f>INDEX( dim_segment!$A$2:$A$5,MATCH(L414,  dim_segment!$B$2:$B$5, 0))</f>
        <v>SEG001</v>
      </c>
      <c r="N414" t="s">
        <v>37</v>
      </c>
      <c r="O414" s="2">
        <v>5</v>
      </c>
      <c r="P414" s="2">
        <v>85000</v>
      </c>
      <c r="Q414">
        <v>0.09</v>
      </c>
      <c r="R414" s="2">
        <v>386800</v>
      </c>
    </row>
    <row r="415" spans="1:18" x14ac:dyDescent="0.25">
      <c r="A415" t="s">
        <v>494</v>
      </c>
      <c r="B415" s="1">
        <v>45434</v>
      </c>
      <c r="C415" s="1" t="s">
        <v>78</v>
      </c>
      <c r="D415" t="s">
        <v>68</v>
      </c>
      <c r="E415" t="s">
        <v>475</v>
      </c>
      <c r="F415" t="s">
        <v>476</v>
      </c>
      <c r="G415" t="s">
        <v>477</v>
      </c>
      <c r="H415" t="s">
        <v>27</v>
      </c>
      <c r="I415" t="s">
        <v>24</v>
      </c>
      <c r="J415" t="s">
        <v>25</v>
      </c>
      <c r="K415" t="s">
        <v>26</v>
      </c>
      <c r="L415" t="s">
        <v>65</v>
      </c>
      <c r="M415" t="str">
        <f>INDEX( dim_segment!$A$2:$A$5,MATCH(L415,  dim_segment!$B$2:$B$5, 0))</f>
        <v>SEG003</v>
      </c>
      <c r="N415" t="s">
        <v>54</v>
      </c>
      <c r="O415" s="2">
        <v>1</v>
      </c>
      <c r="P415" s="2">
        <v>75000</v>
      </c>
      <c r="Q415">
        <v>7.0000000000000007E-2</v>
      </c>
      <c r="R415" s="2">
        <v>69800</v>
      </c>
    </row>
    <row r="416" spans="1:18" x14ac:dyDescent="0.25">
      <c r="A416" t="s">
        <v>495</v>
      </c>
      <c r="B416" s="1">
        <v>45423</v>
      </c>
      <c r="C416" s="1" t="s">
        <v>78</v>
      </c>
      <c r="D416" t="s">
        <v>68</v>
      </c>
      <c r="E416" t="s">
        <v>475</v>
      </c>
      <c r="F416" t="s">
        <v>476</v>
      </c>
      <c r="G416" t="s">
        <v>477</v>
      </c>
      <c r="H416" t="s">
        <v>27</v>
      </c>
      <c r="I416" t="s">
        <v>47</v>
      </c>
      <c r="J416" t="s">
        <v>48</v>
      </c>
      <c r="K416" t="s">
        <v>49</v>
      </c>
      <c r="L416" t="s">
        <v>65</v>
      </c>
      <c r="M416" t="str">
        <f>INDEX( dim_segment!$A$2:$A$5,MATCH(L416,  dim_segment!$B$2:$B$5, 0))</f>
        <v>SEG003</v>
      </c>
      <c r="N416" t="s">
        <v>37</v>
      </c>
      <c r="O416" s="2">
        <v>5</v>
      </c>
      <c r="P416" s="2">
        <v>200000</v>
      </c>
      <c r="Q416">
        <v>0.08</v>
      </c>
      <c r="R416" s="2">
        <v>920000</v>
      </c>
    </row>
    <row r="417" spans="1:18" x14ac:dyDescent="0.25">
      <c r="A417" t="s">
        <v>496</v>
      </c>
      <c r="B417" s="1">
        <v>45460</v>
      </c>
      <c r="C417" s="1" t="s">
        <v>84</v>
      </c>
      <c r="D417" t="s">
        <v>68</v>
      </c>
      <c r="E417" t="s">
        <v>475</v>
      </c>
      <c r="F417" t="s">
        <v>476</v>
      </c>
      <c r="G417" t="s">
        <v>477</v>
      </c>
      <c r="H417" t="s">
        <v>27</v>
      </c>
      <c r="I417" t="s">
        <v>40</v>
      </c>
      <c r="J417" t="s">
        <v>41</v>
      </c>
      <c r="K417" t="s">
        <v>42</v>
      </c>
      <c r="L417" t="s">
        <v>27</v>
      </c>
      <c r="M417" t="str">
        <f>INDEX( dim_segment!$A$2:$A$5,MATCH(L417,  dim_segment!$B$2:$B$5, 0))</f>
        <v>SEG002</v>
      </c>
      <c r="N417" t="s">
        <v>28</v>
      </c>
      <c r="O417" s="2">
        <v>4</v>
      </c>
      <c r="P417" s="2">
        <v>85000</v>
      </c>
      <c r="Q417">
        <v>0</v>
      </c>
      <c r="R417" s="2">
        <v>340000</v>
      </c>
    </row>
    <row r="418" spans="1:18" x14ac:dyDescent="0.25">
      <c r="A418" t="s">
        <v>497</v>
      </c>
      <c r="B418" s="1">
        <v>45471</v>
      </c>
      <c r="C418" s="1" t="s">
        <v>84</v>
      </c>
      <c r="D418" t="s">
        <v>68</v>
      </c>
      <c r="E418" t="s">
        <v>475</v>
      </c>
      <c r="F418" t="s">
        <v>476</v>
      </c>
      <c r="G418" t="s">
        <v>477</v>
      </c>
      <c r="H418" t="s">
        <v>27</v>
      </c>
      <c r="I418" t="s">
        <v>47</v>
      </c>
      <c r="J418" t="s">
        <v>48</v>
      </c>
      <c r="K418" t="s">
        <v>49</v>
      </c>
      <c r="L418" t="s">
        <v>43</v>
      </c>
      <c r="M418" t="str">
        <f>INDEX( dim_segment!$A$2:$A$5,MATCH(L418,  dim_segment!$B$2:$B$5, 0))</f>
        <v>SEG004</v>
      </c>
      <c r="N418" t="s">
        <v>54</v>
      </c>
      <c r="O418" s="2">
        <v>1</v>
      </c>
      <c r="P418" s="2">
        <v>200000</v>
      </c>
      <c r="Q418">
        <v>0.01</v>
      </c>
      <c r="R418" s="2">
        <v>198000</v>
      </c>
    </row>
    <row r="419" spans="1:18" x14ac:dyDescent="0.25">
      <c r="A419" t="s">
        <v>498</v>
      </c>
      <c r="B419" s="1">
        <v>45457</v>
      </c>
      <c r="C419" s="1" t="s">
        <v>84</v>
      </c>
      <c r="D419" t="s">
        <v>68</v>
      </c>
      <c r="E419" t="s">
        <v>475</v>
      </c>
      <c r="F419" t="s">
        <v>476</v>
      </c>
      <c r="G419" t="s">
        <v>477</v>
      </c>
      <c r="H419" t="s">
        <v>27</v>
      </c>
      <c r="I419" t="s">
        <v>51</v>
      </c>
      <c r="J419" t="s">
        <v>52</v>
      </c>
      <c r="K419" t="s">
        <v>42</v>
      </c>
      <c r="L419" t="s">
        <v>27</v>
      </c>
      <c r="M419" t="str">
        <f>INDEX( dim_segment!$A$2:$A$5,MATCH(L419,  dim_segment!$B$2:$B$5, 0))</f>
        <v>SEG002</v>
      </c>
      <c r="N419" t="s">
        <v>54</v>
      </c>
      <c r="O419" s="2">
        <v>5</v>
      </c>
      <c r="P419" s="2">
        <v>150000</v>
      </c>
      <c r="Q419">
        <v>7.0000000000000007E-2</v>
      </c>
      <c r="R419" s="2">
        <v>697500</v>
      </c>
    </row>
    <row r="420" spans="1:18" x14ac:dyDescent="0.25">
      <c r="A420" t="s">
        <v>499</v>
      </c>
      <c r="B420" s="1">
        <v>45464</v>
      </c>
      <c r="C420" s="1" t="s">
        <v>84</v>
      </c>
      <c r="D420" t="s">
        <v>68</v>
      </c>
      <c r="E420" t="s">
        <v>475</v>
      </c>
      <c r="F420" t="s">
        <v>476</v>
      </c>
      <c r="G420" t="s">
        <v>477</v>
      </c>
      <c r="H420" t="s">
        <v>27</v>
      </c>
      <c r="I420" t="s">
        <v>47</v>
      </c>
      <c r="J420" t="s">
        <v>48</v>
      </c>
      <c r="K420" t="s">
        <v>49</v>
      </c>
      <c r="L420" t="s">
        <v>43</v>
      </c>
      <c r="M420" t="str">
        <f>INDEX( dim_segment!$A$2:$A$5,MATCH(L420,  dim_segment!$B$2:$B$5, 0))</f>
        <v>SEG004</v>
      </c>
      <c r="N420" t="s">
        <v>33</v>
      </c>
      <c r="O420" s="2">
        <v>3</v>
      </c>
      <c r="P420" s="2">
        <v>200000</v>
      </c>
      <c r="Q420">
        <v>0.09</v>
      </c>
      <c r="R420" s="2">
        <v>546000</v>
      </c>
    </row>
    <row r="421" spans="1:18" x14ac:dyDescent="0.25">
      <c r="A421" t="s">
        <v>500</v>
      </c>
      <c r="B421" s="1">
        <v>45453</v>
      </c>
      <c r="C421" s="1" t="s">
        <v>84</v>
      </c>
      <c r="D421" t="s">
        <v>68</v>
      </c>
      <c r="E421" t="s">
        <v>475</v>
      </c>
      <c r="F421" t="s">
        <v>476</v>
      </c>
      <c r="G421" t="s">
        <v>477</v>
      </c>
      <c r="H421" t="s">
        <v>27</v>
      </c>
      <c r="I421" t="s">
        <v>51</v>
      </c>
      <c r="J421" t="s">
        <v>52</v>
      </c>
      <c r="K421" t="s">
        <v>42</v>
      </c>
      <c r="L421" t="s">
        <v>27</v>
      </c>
      <c r="M421" t="str">
        <f>INDEX( dim_segment!$A$2:$A$5,MATCH(L421,  dim_segment!$B$2:$B$5, 0))</f>
        <v>SEG002</v>
      </c>
      <c r="N421" t="s">
        <v>28</v>
      </c>
      <c r="O421" s="2">
        <v>1</v>
      </c>
      <c r="P421" s="2">
        <v>150000</v>
      </c>
      <c r="Q421">
        <v>0.11</v>
      </c>
      <c r="R421" s="2">
        <v>133500</v>
      </c>
    </row>
    <row r="422" spans="1:18" x14ac:dyDescent="0.25">
      <c r="A422" t="s">
        <v>501</v>
      </c>
      <c r="B422" s="1">
        <v>45448</v>
      </c>
      <c r="C422" s="1" t="s">
        <v>84</v>
      </c>
      <c r="D422" t="s">
        <v>68</v>
      </c>
      <c r="E422" t="s">
        <v>475</v>
      </c>
      <c r="F422" t="s">
        <v>476</v>
      </c>
      <c r="G422" t="s">
        <v>477</v>
      </c>
      <c r="H422" t="s">
        <v>27</v>
      </c>
      <c r="I422" t="s">
        <v>40</v>
      </c>
      <c r="J422" t="s">
        <v>41</v>
      </c>
      <c r="K422" t="s">
        <v>42</v>
      </c>
      <c r="L422" t="s">
        <v>23</v>
      </c>
      <c r="M422" t="str">
        <f>INDEX( dim_segment!$A$2:$A$5,MATCH(L422,  dim_segment!$B$2:$B$5, 0))</f>
        <v>SEG001</v>
      </c>
      <c r="N422" t="s">
        <v>54</v>
      </c>
      <c r="O422" s="2">
        <v>3</v>
      </c>
      <c r="P422" s="2">
        <v>85000</v>
      </c>
      <c r="Q422">
        <v>0.12</v>
      </c>
      <c r="R422" s="2">
        <v>224400</v>
      </c>
    </row>
    <row r="423" spans="1:18" x14ac:dyDescent="0.25">
      <c r="A423" t="s">
        <v>502</v>
      </c>
      <c r="B423" s="1">
        <v>45499</v>
      </c>
      <c r="C423" s="1" t="s">
        <v>92</v>
      </c>
      <c r="D423" t="s">
        <v>93</v>
      </c>
      <c r="E423" t="s">
        <v>475</v>
      </c>
      <c r="F423" t="s">
        <v>476</v>
      </c>
      <c r="G423" t="s">
        <v>477</v>
      </c>
      <c r="H423" t="s">
        <v>27</v>
      </c>
      <c r="I423" t="s">
        <v>75</v>
      </c>
      <c r="J423" t="s">
        <v>76</v>
      </c>
      <c r="K423" t="s">
        <v>49</v>
      </c>
      <c r="L423" t="s">
        <v>65</v>
      </c>
      <c r="M423" t="str">
        <f>INDEX( dim_segment!$A$2:$A$5,MATCH(L423,  dim_segment!$B$2:$B$5, 0))</f>
        <v>SEG003</v>
      </c>
      <c r="N423" t="s">
        <v>33</v>
      </c>
      <c r="O423" s="2">
        <v>2</v>
      </c>
      <c r="P423" s="2">
        <v>120000</v>
      </c>
      <c r="Q423">
        <v>0.11</v>
      </c>
      <c r="R423" s="2">
        <v>213600</v>
      </c>
    </row>
    <row r="424" spans="1:18" x14ac:dyDescent="0.25">
      <c r="A424" t="s">
        <v>503</v>
      </c>
      <c r="B424" s="1">
        <v>45499</v>
      </c>
      <c r="C424" s="1" t="s">
        <v>92</v>
      </c>
      <c r="D424" t="s">
        <v>93</v>
      </c>
      <c r="E424" t="s">
        <v>475</v>
      </c>
      <c r="F424" t="s">
        <v>476</v>
      </c>
      <c r="G424" t="s">
        <v>477</v>
      </c>
      <c r="H424" t="s">
        <v>27</v>
      </c>
      <c r="I424" t="s">
        <v>30</v>
      </c>
      <c r="J424" t="s">
        <v>31</v>
      </c>
      <c r="K424" t="s">
        <v>32</v>
      </c>
      <c r="L424" t="s">
        <v>27</v>
      </c>
      <c r="M424" t="str">
        <f>INDEX( dim_segment!$A$2:$A$5,MATCH(L424,  dim_segment!$B$2:$B$5, 0))</f>
        <v>SEG002</v>
      </c>
      <c r="N424" t="s">
        <v>28</v>
      </c>
      <c r="O424" s="2">
        <v>4</v>
      </c>
      <c r="P424" s="2">
        <v>60000</v>
      </c>
      <c r="Q424">
        <v>0.1</v>
      </c>
      <c r="R424" s="2">
        <v>216000</v>
      </c>
    </row>
    <row r="425" spans="1:18" x14ac:dyDescent="0.25">
      <c r="A425" t="s">
        <v>504</v>
      </c>
      <c r="B425" s="1">
        <v>45489</v>
      </c>
      <c r="C425" s="1" t="s">
        <v>92</v>
      </c>
      <c r="D425" t="s">
        <v>93</v>
      </c>
      <c r="E425" t="s">
        <v>475</v>
      </c>
      <c r="F425" t="s">
        <v>476</v>
      </c>
      <c r="G425" t="s">
        <v>477</v>
      </c>
      <c r="H425" t="s">
        <v>27</v>
      </c>
      <c r="I425" t="s">
        <v>47</v>
      </c>
      <c r="J425" t="s">
        <v>48</v>
      </c>
      <c r="K425" t="s">
        <v>49</v>
      </c>
      <c r="L425" t="s">
        <v>65</v>
      </c>
      <c r="M425" t="str">
        <f>INDEX( dim_segment!$A$2:$A$5,MATCH(L425,  dim_segment!$B$2:$B$5, 0))</f>
        <v>SEG003</v>
      </c>
      <c r="N425" t="s">
        <v>54</v>
      </c>
      <c r="O425" s="2">
        <v>5</v>
      </c>
      <c r="P425" s="2">
        <v>200000</v>
      </c>
      <c r="Q425">
        <v>7.0000000000000007E-2</v>
      </c>
      <c r="R425" s="2">
        <v>930000</v>
      </c>
    </row>
    <row r="426" spans="1:18" x14ac:dyDescent="0.25">
      <c r="A426" t="s">
        <v>505</v>
      </c>
      <c r="B426" s="1">
        <v>45477</v>
      </c>
      <c r="C426" s="1" t="s">
        <v>92</v>
      </c>
      <c r="D426" t="s">
        <v>93</v>
      </c>
      <c r="E426" t="s">
        <v>475</v>
      </c>
      <c r="F426" t="s">
        <v>476</v>
      </c>
      <c r="G426" t="s">
        <v>477</v>
      </c>
      <c r="H426" t="s">
        <v>27</v>
      </c>
      <c r="I426" t="s">
        <v>60</v>
      </c>
      <c r="J426" t="s">
        <v>61</v>
      </c>
      <c r="K426" t="s">
        <v>26</v>
      </c>
      <c r="L426" t="s">
        <v>23</v>
      </c>
      <c r="M426" t="str">
        <f>INDEX( dim_segment!$A$2:$A$5,MATCH(L426,  dim_segment!$B$2:$B$5, 0))</f>
        <v>SEG001</v>
      </c>
      <c r="N426" t="s">
        <v>54</v>
      </c>
      <c r="O426" s="2">
        <v>2</v>
      </c>
      <c r="P426" s="2">
        <v>95000</v>
      </c>
      <c r="Q426">
        <v>0.05</v>
      </c>
      <c r="R426" s="2">
        <v>180500</v>
      </c>
    </row>
    <row r="427" spans="1:18" x14ac:dyDescent="0.25">
      <c r="A427" t="s">
        <v>506</v>
      </c>
      <c r="B427" s="1">
        <v>45512</v>
      </c>
      <c r="C427" s="1" t="s">
        <v>102</v>
      </c>
      <c r="D427" t="s">
        <v>93</v>
      </c>
      <c r="E427" t="s">
        <v>475</v>
      </c>
      <c r="F427" t="s">
        <v>476</v>
      </c>
      <c r="G427" t="s">
        <v>477</v>
      </c>
      <c r="H427" t="s">
        <v>27</v>
      </c>
      <c r="I427" t="s">
        <v>51</v>
      </c>
      <c r="J427" t="s">
        <v>52</v>
      </c>
      <c r="K427" t="s">
        <v>42</v>
      </c>
      <c r="L427" t="s">
        <v>43</v>
      </c>
      <c r="M427" t="str">
        <f>INDEX( dim_segment!$A$2:$A$5,MATCH(L427,  dim_segment!$B$2:$B$5, 0))</f>
        <v>SEG004</v>
      </c>
      <c r="N427" t="s">
        <v>37</v>
      </c>
      <c r="O427" s="2">
        <v>4</v>
      </c>
      <c r="P427" s="2">
        <v>150000</v>
      </c>
      <c r="Q427">
        <v>0.09</v>
      </c>
      <c r="R427" s="2">
        <v>546000</v>
      </c>
    </row>
    <row r="428" spans="1:18" x14ac:dyDescent="0.25">
      <c r="A428" t="s">
        <v>507</v>
      </c>
      <c r="B428" s="1">
        <v>45508</v>
      </c>
      <c r="C428" s="1" t="s">
        <v>102</v>
      </c>
      <c r="D428" t="s">
        <v>93</v>
      </c>
      <c r="E428" t="s">
        <v>475</v>
      </c>
      <c r="F428" t="s">
        <v>476</v>
      </c>
      <c r="G428" t="s">
        <v>477</v>
      </c>
      <c r="H428" t="s">
        <v>27</v>
      </c>
      <c r="I428" t="s">
        <v>51</v>
      </c>
      <c r="J428" t="s">
        <v>52</v>
      </c>
      <c r="K428" t="s">
        <v>42</v>
      </c>
      <c r="L428" t="s">
        <v>65</v>
      </c>
      <c r="M428" t="str">
        <f>INDEX( dim_segment!$A$2:$A$5,MATCH(L428,  dim_segment!$B$2:$B$5, 0))</f>
        <v>SEG003</v>
      </c>
      <c r="N428" t="s">
        <v>28</v>
      </c>
      <c r="O428" s="2">
        <v>5</v>
      </c>
      <c r="P428" s="2">
        <v>150000</v>
      </c>
      <c r="Q428">
        <v>7.0000000000000007E-2</v>
      </c>
      <c r="R428" s="2">
        <v>697500</v>
      </c>
    </row>
    <row r="429" spans="1:18" x14ac:dyDescent="0.25">
      <c r="A429" t="s">
        <v>508</v>
      </c>
      <c r="B429" s="1">
        <v>45563</v>
      </c>
      <c r="C429" s="1" t="s">
        <v>106</v>
      </c>
      <c r="D429" t="s">
        <v>93</v>
      </c>
      <c r="E429" t="s">
        <v>475</v>
      </c>
      <c r="F429" t="s">
        <v>476</v>
      </c>
      <c r="G429" t="s">
        <v>477</v>
      </c>
      <c r="H429" t="s">
        <v>27</v>
      </c>
      <c r="I429" t="s">
        <v>30</v>
      </c>
      <c r="J429" t="s">
        <v>31</v>
      </c>
      <c r="K429" t="s">
        <v>32</v>
      </c>
      <c r="L429" t="s">
        <v>65</v>
      </c>
      <c r="M429" t="str">
        <f>INDEX( dim_segment!$A$2:$A$5,MATCH(L429,  dim_segment!$B$2:$B$5, 0))</f>
        <v>SEG003</v>
      </c>
      <c r="N429" t="s">
        <v>33</v>
      </c>
      <c r="O429" s="2">
        <v>2</v>
      </c>
      <c r="P429" s="2">
        <v>60000</v>
      </c>
      <c r="Q429">
        <v>0.04</v>
      </c>
      <c r="R429" s="2">
        <v>115200</v>
      </c>
    </row>
    <row r="430" spans="1:18" x14ac:dyDescent="0.25">
      <c r="A430" t="s">
        <v>509</v>
      </c>
      <c r="B430" s="1">
        <v>45563</v>
      </c>
      <c r="C430" s="1" t="s">
        <v>106</v>
      </c>
      <c r="D430" t="s">
        <v>93</v>
      </c>
      <c r="E430" t="s">
        <v>475</v>
      </c>
      <c r="F430" t="s">
        <v>476</v>
      </c>
      <c r="G430" t="s">
        <v>477</v>
      </c>
      <c r="H430" t="s">
        <v>27</v>
      </c>
      <c r="I430" t="s">
        <v>24</v>
      </c>
      <c r="J430" t="s">
        <v>25</v>
      </c>
      <c r="K430" t="s">
        <v>26</v>
      </c>
      <c r="L430" t="s">
        <v>65</v>
      </c>
      <c r="M430" t="str">
        <f>INDEX( dim_segment!$A$2:$A$5,MATCH(L430,  dim_segment!$B$2:$B$5, 0))</f>
        <v>SEG003</v>
      </c>
      <c r="N430" t="s">
        <v>37</v>
      </c>
      <c r="O430" s="2">
        <v>5</v>
      </c>
      <c r="P430" s="2">
        <v>75000</v>
      </c>
      <c r="Q430">
        <v>0.04</v>
      </c>
      <c r="R430" s="2">
        <v>360000</v>
      </c>
    </row>
    <row r="431" spans="1:18" x14ac:dyDescent="0.25">
      <c r="A431" t="s">
        <v>510</v>
      </c>
      <c r="B431" s="1">
        <v>45561</v>
      </c>
      <c r="C431" s="1" t="s">
        <v>106</v>
      </c>
      <c r="D431" t="s">
        <v>93</v>
      </c>
      <c r="E431" t="s">
        <v>475</v>
      </c>
      <c r="F431" t="s">
        <v>476</v>
      </c>
      <c r="G431" t="s">
        <v>477</v>
      </c>
      <c r="H431" t="s">
        <v>27</v>
      </c>
      <c r="I431" t="s">
        <v>35</v>
      </c>
      <c r="J431" t="s">
        <v>36</v>
      </c>
      <c r="K431" t="s">
        <v>32</v>
      </c>
      <c r="L431" t="s">
        <v>65</v>
      </c>
      <c r="M431" t="str">
        <f>INDEX( dim_segment!$A$2:$A$5,MATCH(L431,  dim_segment!$B$2:$B$5, 0))</f>
        <v>SEG003</v>
      </c>
      <c r="N431" t="s">
        <v>37</v>
      </c>
      <c r="O431" s="2">
        <v>4</v>
      </c>
      <c r="P431" s="2">
        <v>45000</v>
      </c>
      <c r="Q431">
        <v>0.1</v>
      </c>
      <c r="R431" s="2">
        <v>162000</v>
      </c>
    </row>
    <row r="432" spans="1:18" x14ac:dyDescent="0.25">
      <c r="A432" t="s">
        <v>511</v>
      </c>
      <c r="B432" s="1">
        <v>45548</v>
      </c>
      <c r="C432" s="1" t="s">
        <v>106</v>
      </c>
      <c r="D432" t="s">
        <v>93</v>
      </c>
      <c r="E432" t="s">
        <v>475</v>
      </c>
      <c r="F432" t="s">
        <v>476</v>
      </c>
      <c r="G432" t="s">
        <v>477</v>
      </c>
      <c r="H432" t="s">
        <v>27</v>
      </c>
      <c r="I432" t="s">
        <v>51</v>
      </c>
      <c r="J432" t="s">
        <v>52</v>
      </c>
      <c r="K432" t="s">
        <v>42</v>
      </c>
      <c r="L432" t="s">
        <v>43</v>
      </c>
      <c r="M432" t="str">
        <f>INDEX( dim_segment!$A$2:$A$5,MATCH(L432,  dim_segment!$B$2:$B$5, 0))</f>
        <v>SEG004</v>
      </c>
      <c r="N432" t="s">
        <v>37</v>
      </c>
      <c r="O432" s="2">
        <v>4</v>
      </c>
      <c r="P432" s="2">
        <v>150000</v>
      </c>
      <c r="Q432">
        <v>0.06</v>
      </c>
      <c r="R432" s="2">
        <v>564000</v>
      </c>
    </row>
    <row r="433" spans="1:18" x14ac:dyDescent="0.25">
      <c r="A433" t="s">
        <v>512</v>
      </c>
      <c r="B433" s="1">
        <v>45548</v>
      </c>
      <c r="C433" s="1" t="s">
        <v>106</v>
      </c>
      <c r="D433" t="s">
        <v>93</v>
      </c>
      <c r="E433" t="s">
        <v>475</v>
      </c>
      <c r="F433" t="s">
        <v>476</v>
      </c>
      <c r="G433" t="s">
        <v>477</v>
      </c>
      <c r="H433" t="s">
        <v>27</v>
      </c>
      <c r="I433" t="s">
        <v>30</v>
      </c>
      <c r="J433" t="s">
        <v>31</v>
      </c>
      <c r="K433" t="s">
        <v>32</v>
      </c>
      <c r="L433" t="s">
        <v>65</v>
      </c>
      <c r="M433" t="str">
        <f>INDEX( dim_segment!$A$2:$A$5,MATCH(L433,  dim_segment!$B$2:$B$5, 0))</f>
        <v>SEG003</v>
      </c>
      <c r="N433" t="s">
        <v>37</v>
      </c>
      <c r="O433" s="2">
        <v>1</v>
      </c>
      <c r="P433" s="2">
        <v>60000</v>
      </c>
      <c r="Q433">
        <v>0.09</v>
      </c>
      <c r="R433" s="2">
        <v>54600</v>
      </c>
    </row>
    <row r="434" spans="1:18" x14ac:dyDescent="0.25">
      <c r="A434" t="s">
        <v>513</v>
      </c>
      <c r="B434" s="1">
        <v>45576</v>
      </c>
      <c r="C434" s="1" t="s">
        <v>115</v>
      </c>
      <c r="D434" t="s">
        <v>116</v>
      </c>
      <c r="E434" t="s">
        <v>475</v>
      </c>
      <c r="F434" t="s">
        <v>476</v>
      </c>
      <c r="G434" t="s">
        <v>477</v>
      </c>
      <c r="H434" t="s">
        <v>27</v>
      </c>
      <c r="I434" t="s">
        <v>51</v>
      </c>
      <c r="J434" t="s">
        <v>52</v>
      </c>
      <c r="K434" t="s">
        <v>42</v>
      </c>
      <c r="L434" t="s">
        <v>65</v>
      </c>
      <c r="M434" t="str">
        <f>INDEX( dim_segment!$A$2:$A$5,MATCH(L434,  dim_segment!$B$2:$B$5, 0))</f>
        <v>SEG003</v>
      </c>
      <c r="N434" t="s">
        <v>33</v>
      </c>
      <c r="O434" s="2">
        <v>4</v>
      </c>
      <c r="P434" s="2">
        <v>150000</v>
      </c>
      <c r="Q434">
        <v>7.0000000000000007E-2</v>
      </c>
      <c r="R434" s="2">
        <v>558000</v>
      </c>
    </row>
    <row r="435" spans="1:18" x14ac:dyDescent="0.25">
      <c r="A435" t="s">
        <v>514</v>
      </c>
      <c r="B435" s="1">
        <v>45574</v>
      </c>
      <c r="C435" s="1" t="s">
        <v>115</v>
      </c>
      <c r="D435" t="s">
        <v>116</v>
      </c>
      <c r="E435" t="s">
        <v>475</v>
      </c>
      <c r="F435" t="s">
        <v>476</v>
      </c>
      <c r="G435" t="s">
        <v>477</v>
      </c>
      <c r="H435" t="s">
        <v>27</v>
      </c>
      <c r="I435" t="s">
        <v>75</v>
      </c>
      <c r="J435" t="s">
        <v>76</v>
      </c>
      <c r="K435" t="s">
        <v>49</v>
      </c>
      <c r="L435" t="s">
        <v>27</v>
      </c>
      <c r="M435" t="str">
        <f>INDEX( dim_segment!$A$2:$A$5,MATCH(L435,  dim_segment!$B$2:$B$5, 0))</f>
        <v>SEG002</v>
      </c>
      <c r="N435" t="s">
        <v>37</v>
      </c>
      <c r="O435" s="2">
        <v>3</v>
      </c>
      <c r="P435" s="2">
        <v>120000</v>
      </c>
      <c r="Q435">
        <v>7.0000000000000007E-2</v>
      </c>
      <c r="R435" s="2">
        <v>334800</v>
      </c>
    </row>
    <row r="436" spans="1:18" x14ac:dyDescent="0.25">
      <c r="A436" t="s">
        <v>515</v>
      </c>
      <c r="B436" s="1">
        <v>45573</v>
      </c>
      <c r="C436" s="1" t="s">
        <v>115</v>
      </c>
      <c r="D436" t="s">
        <v>116</v>
      </c>
      <c r="E436" t="s">
        <v>475</v>
      </c>
      <c r="F436" t="s">
        <v>476</v>
      </c>
      <c r="G436" t="s">
        <v>477</v>
      </c>
      <c r="H436" t="s">
        <v>27</v>
      </c>
      <c r="I436" t="s">
        <v>40</v>
      </c>
      <c r="J436" t="s">
        <v>41</v>
      </c>
      <c r="K436" t="s">
        <v>42</v>
      </c>
      <c r="L436" t="s">
        <v>27</v>
      </c>
      <c r="M436" t="str">
        <f>INDEX( dim_segment!$A$2:$A$5,MATCH(L436,  dim_segment!$B$2:$B$5, 0))</f>
        <v>SEG002</v>
      </c>
      <c r="N436" t="s">
        <v>54</v>
      </c>
      <c r="O436" s="2">
        <v>1</v>
      </c>
      <c r="P436" s="2">
        <v>85000</v>
      </c>
      <c r="Q436">
        <v>0.01</v>
      </c>
      <c r="R436" s="2">
        <v>84200</v>
      </c>
    </row>
    <row r="437" spans="1:18" x14ac:dyDescent="0.25">
      <c r="A437" t="s">
        <v>516</v>
      </c>
      <c r="B437" s="1">
        <v>45581</v>
      </c>
      <c r="C437" s="1" t="s">
        <v>115</v>
      </c>
      <c r="D437" t="s">
        <v>116</v>
      </c>
      <c r="E437" t="s">
        <v>475</v>
      </c>
      <c r="F437" t="s">
        <v>476</v>
      </c>
      <c r="G437" t="s">
        <v>477</v>
      </c>
      <c r="H437" t="s">
        <v>27</v>
      </c>
      <c r="I437" t="s">
        <v>24</v>
      </c>
      <c r="J437" t="s">
        <v>25</v>
      </c>
      <c r="K437" t="s">
        <v>26</v>
      </c>
      <c r="L437" t="s">
        <v>43</v>
      </c>
      <c r="M437" t="str">
        <f>INDEX( dim_segment!$A$2:$A$5,MATCH(L437,  dim_segment!$B$2:$B$5, 0))</f>
        <v>SEG004</v>
      </c>
      <c r="N437" t="s">
        <v>33</v>
      </c>
      <c r="O437" s="2">
        <v>4</v>
      </c>
      <c r="P437" s="2">
        <v>75000</v>
      </c>
      <c r="Q437">
        <v>0.11</v>
      </c>
      <c r="R437" s="2">
        <v>267000</v>
      </c>
    </row>
    <row r="438" spans="1:18" x14ac:dyDescent="0.25">
      <c r="A438" t="s">
        <v>517</v>
      </c>
      <c r="B438" s="1">
        <v>45613</v>
      </c>
      <c r="C438" s="1" t="s">
        <v>125</v>
      </c>
      <c r="D438" t="s">
        <v>116</v>
      </c>
      <c r="E438" t="s">
        <v>475</v>
      </c>
      <c r="F438" t="s">
        <v>476</v>
      </c>
      <c r="G438" t="s">
        <v>477</v>
      </c>
      <c r="H438" t="s">
        <v>27</v>
      </c>
      <c r="I438" t="s">
        <v>60</v>
      </c>
      <c r="J438" t="s">
        <v>61</v>
      </c>
      <c r="K438" t="s">
        <v>26</v>
      </c>
      <c r="L438" t="s">
        <v>43</v>
      </c>
      <c r="M438" t="str">
        <f>INDEX( dim_segment!$A$2:$A$5,MATCH(L438,  dim_segment!$B$2:$B$5, 0))</f>
        <v>SEG004</v>
      </c>
      <c r="N438" t="s">
        <v>33</v>
      </c>
      <c r="O438" s="2">
        <v>3</v>
      </c>
      <c r="P438" s="2">
        <v>95000</v>
      </c>
      <c r="Q438">
        <v>0.04</v>
      </c>
      <c r="R438" s="2">
        <v>273600</v>
      </c>
    </row>
    <row r="439" spans="1:18" x14ac:dyDescent="0.25">
      <c r="A439" t="s">
        <v>518</v>
      </c>
      <c r="B439" s="1">
        <v>45597</v>
      </c>
      <c r="C439" s="1" t="s">
        <v>125</v>
      </c>
      <c r="D439" t="s">
        <v>116</v>
      </c>
      <c r="E439" t="s">
        <v>475</v>
      </c>
      <c r="F439" t="s">
        <v>476</v>
      </c>
      <c r="G439" t="s">
        <v>477</v>
      </c>
      <c r="H439" t="s">
        <v>27</v>
      </c>
      <c r="I439" t="s">
        <v>35</v>
      </c>
      <c r="J439" t="s">
        <v>36</v>
      </c>
      <c r="K439" t="s">
        <v>32</v>
      </c>
      <c r="L439" t="s">
        <v>43</v>
      </c>
      <c r="M439" t="str">
        <f>INDEX( dim_segment!$A$2:$A$5,MATCH(L439,  dim_segment!$B$2:$B$5, 0))</f>
        <v>SEG004</v>
      </c>
      <c r="N439" t="s">
        <v>28</v>
      </c>
      <c r="O439" s="2">
        <v>2</v>
      </c>
      <c r="P439" s="2">
        <v>45000</v>
      </c>
      <c r="Q439">
        <v>0.08</v>
      </c>
      <c r="R439" s="2">
        <v>82800</v>
      </c>
    </row>
    <row r="440" spans="1:18" x14ac:dyDescent="0.25">
      <c r="A440" t="s">
        <v>519</v>
      </c>
      <c r="B440" s="1">
        <v>45616</v>
      </c>
      <c r="C440" s="1" t="s">
        <v>125</v>
      </c>
      <c r="D440" t="s">
        <v>116</v>
      </c>
      <c r="E440" t="s">
        <v>475</v>
      </c>
      <c r="F440" t="s">
        <v>476</v>
      </c>
      <c r="G440" t="s">
        <v>477</v>
      </c>
      <c r="H440" t="s">
        <v>27</v>
      </c>
      <c r="I440" t="s">
        <v>30</v>
      </c>
      <c r="J440" t="s">
        <v>31</v>
      </c>
      <c r="K440" t="s">
        <v>32</v>
      </c>
      <c r="L440" t="s">
        <v>27</v>
      </c>
      <c r="M440" t="str">
        <f>INDEX( dim_segment!$A$2:$A$5,MATCH(L440,  dim_segment!$B$2:$B$5, 0))</f>
        <v>SEG002</v>
      </c>
      <c r="N440" t="s">
        <v>37</v>
      </c>
      <c r="O440" s="2">
        <v>5</v>
      </c>
      <c r="P440" s="2">
        <v>60000</v>
      </c>
      <c r="Q440">
        <v>0.06</v>
      </c>
      <c r="R440" s="2">
        <v>282000</v>
      </c>
    </row>
    <row r="441" spans="1:18" x14ac:dyDescent="0.25">
      <c r="A441" t="s">
        <v>520</v>
      </c>
      <c r="B441" s="1">
        <v>45624</v>
      </c>
      <c r="C441" s="1" t="s">
        <v>125</v>
      </c>
      <c r="D441" t="s">
        <v>116</v>
      </c>
      <c r="E441" t="s">
        <v>475</v>
      </c>
      <c r="F441" t="s">
        <v>476</v>
      </c>
      <c r="G441" t="s">
        <v>477</v>
      </c>
      <c r="H441" t="s">
        <v>27</v>
      </c>
      <c r="I441" t="s">
        <v>75</v>
      </c>
      <c r="J441" t="s">
        <v>76</v>
      </c>
      <c r="K441" t="s">
        <v>49</v>
      </c>
      <c r="L441" t="s">
        <v>23</v>
      </c>
      <c r="M441" t="str">
        <f>INDEX( dim_segment!$A$2:$A$5,MATCH(L441,  dim_segment!$B$2:$B$5, 0))</f>
        <v>SEG001</v>
      </c>
      <c r="N441" t="s">
        <v>54</v>
      </c>
      <c r="O441" s="2">
        <v>4</v>
      </c>
      <c r="P441" s="2">
        <v>120000</v>
      </c>
      <c r="Q441">
        <v>7.0000000000000007E-2</v>
      </c>
      <c r="R441" s="2">
        <v>446400</v>
      </c>
    </row>
    <row r="442" spans="1:18" x14ac:dyDescent="0.25">
      <c r="A442" t="s">
        <v>521</v>
      </c>
      <c r="B442" s="1">
        <v>45616</v>
      </c>
      <c r="C442" s="1" t="s">
        <v>125</v>
      </c>
      <c r="D442" t="s">
        <v>116</v>
      </c>
      <c r="E442" t="s">
        <v>475</v>
      </c>
      <c r="F442" t="s">
        <v>476</v>
      </c>
      <c r="G442" t="s">
        <v>477</v>
      </c>
      <c r="H442" t="s">
        <v>27</v>
      </c>
      <c r="I442" t="s">
        <v>47</v>
      </c>
      <c r="J442" t="s">
        <v>48</v>
      </c>
      <c r="K442" t="s">
        <v>49</v>
      </c>
      <c r="L442" t="s">
        <v>27</v>
      </c>
      <c r="M442" t="str">
        <f>INDEX( dim_segment!$A$2:$A$5,MATCH(L442,  dim_segment!$B$2:$B$5, 0))</f>
        <v>SEG002</v>
      </c>
      <c r="N442" t="s">
        <v>33</v>
      </c>
      <c r="O442" s="2">
        <v>5</v>
      </c>
      <c r="P442" s="2">
        <v>200000</v>
      </c>
      <c r="Q442">
        <v>0.09</v>
      </c>
      <c r="R442" s="2">
        <v>910000</v>
      </c>
    </row>
    <row r="443" spans="1:18" x14ac:dyDescent="0.25">
      <c r="A443" t="s">
        <v>522</v>
      </c>
      <c r="B443" s="1">
        <v>45607</v>
      </c>
      <c r="C443" s="1" t="s">
        <v>125</v>
      </c>
      <c r="D443" t="s">
        <v>116</v>
      </c>
      <c r="E443" t="s">
        <v>475</v>
      </c>
      <c r="F443" t="s">
        <v>476</v>
      </c>
      <c r="G443" t="s">
        <v>477</v>
      </c>
      <c r="H443" t="s">
        <v>27</v>
      </c>
      <c r="I443" t="s">
        <v>24</v>
      </c>
      <c r="J443" t="s">
        <v>25</v>
      </c>
      <c r="K443" t="s">
        <v>26</v>
      </c>
      <c r="L443" t="s">
        <v>43</v>
      </c>
      <c r="M443" t="str">
        <f>INDEX( dim_segment!$A$2:$A$5,MATCH(L443,  dim_segment!$B$2:$B$5, 0))</f>
        <v>SEG004</v>
      </c>
      <c r="N443" t="s">
        <v>37</v>
      </c>
      <c r="O443" s="2">
        <v>2</v>
      </c>
      <c r="P443" s="2">
        <v>75000</v>
      </c>
      <c r="Q443">
        <v>7.0000000000000007E-2</v>
      </c>
      <c r="R443" s="2">
        <v>139500</v>
      </c>
    </row>
    <row r="444" spans="1:18" x14ac:dyDescent="0.25">
      <c r="A444" t="s">
        <v>523</v>
      </c>
      <c r="B444" s="1">
        <v>45618</v>
      </c>
      <c r="C444" s="1" t="s">
        <v>125</v>
      </c>
      <c r="D444" t="s">
        <v>116</v>
      </c>
      <c r="E444" t="s">
        <v>475</v>
      </c>
      <c r="F444" t="s">
        <v>476</v>
      </c>
      <c r="G444" t="s">
        <v>477</v>
      </c>
      <c r="H444" t="s">
        <v>27</v>
      </c>
      <c r="I444" t="s">
        <v>40</v>
      </c>
      <c r="J444" t="s">
        <v>41</v>
      </c>
      <c r="K444" t="s">
        <v>42</v>
      </c>
      <c r="L444" t="s">
        <v>23</v>
      </c>
      <c r="M444" t="str">
        <f>INDEX( dim_segment!$A$2:$A$5,MATCH(L444,  dim_segment!$B$2:$B$5, 0))</f>
        <v>SEG001</v>
      </c>
      <c r="N444" t="s">
        <v>33</v>
      </c>
      <c r="O444" s="2">
        <v>5</v>
      </c>
      <c r="P444" s="2">
        <v>85000</v>
      </c>
      <c r="Q444">
        <v>0.01</v>
      </c>
      <c r="R444" s="2">
        <v>420800</v>
      </c>
    </row>
    <row r="445" spans="1:18" x14ac:dyDescent="0.25">
      <c r="A445" t="s">
        <v>524</v>
      </c>
      <c r="B445" s="1">
        <v>45650</v>
      </c>
      <c r="C445" s="1" t="s">
        <v>134</v>
      </c>
      <c r="D445" t="s">
        <v>116</v>
      </c>
      <c r="E445" t="s">
        <v>475</v>
      </c>
      <c r="F445" t="s">
        <v>476</v>
      </c>
      <c r="G445" t="s">
        <v>477</v>
      </c>
      <c r="H445" t="s">
        <v>27</v>
      </c>
      <c r="I445" t="s">
        <v>30</v>
      </c>
      <c r="J445" t="s">
        <v>31</v>
      </c>
      <c r="K445" t="s">
        <v>32</v>
      </c>
      <c r="L445" t="s">
        <v>65</v>
      </c>
      <c r="M445" t="str">
        <f>INDEX( dim_segment!$A$2:$A$5,MATCH(L445,  dim_segment!$B$2:$B$5, 0))</f>
        <v>SEG003</v>
      </c>
      <c r="N445" t="s">
        <v>37</v>
      </c>
      <c r="O445" s="2">
        <v>5</v>
      </c>
      <c r="P445" s="2">
        <v>60000</v>
      </c>
      <c r="Q445">
        <v>0.09</v>
      </c>
      <c r="R445" s="2">
        <v>273000</v>
      </c>
    </row>
    <row r="446" spans="1:18" x14ac:dyDescent="0.25">
      <c r="A446" t="s">
        <v>525</v>
      </c>
      <c r="B446" s="1">
        <v>45650</v>
      </c>
      <c r="C446" s="1" t="s">
        <v>134</v>
      </c>
      <c r="D446" t="s">
        <v>116</v>
      </c>
      <c r="E446" t="s">
        <v>475</v>
      </c>
      <c r="F446" t="s">
        <v>476</v>
      </c>
      <c r="G446" t="s">
        <v>477</v>
      </c>
      <c r="H446" t="s">
        <v>27</v>
      </c>
      <c r="I446" t="s">
        <v>40</v>
      </c>
      <c r="J446" t="s">
        <v>41</v>
      </c>
      <c r="K446" t="s">
        <v>42</v>
      </c>
      <c r="L446" t="s">
        <v>23</v>
      </c>
      <c r="M446" t="str">
        <f>INDEX( dim_segment!$A$2:$A$5,MATCH(L446,  dim_segment!$B$2:$B$5, 0))</f>
        <v>SEG001</v>
      </c>
      <c r="N446" t="s">
        <v>28</v>
      </c>
      <c r="O446" s="2">
        <v>1</v>
      </c>
      <c r="P446" s="2">
        <v>85000</v>
      </c>
      <c r="Q446">
        <v>0.04</v>
      </c>
      <c r="R446" s="2">
        <v>81600</v>
      </c>
    </row>
    <row r="447" spans="1:18" x14ac:dyDescent="0.25">
      <c r="A447" t="s">
        <v>526</v>
      </c>
      <c r="B447" s="1">
        <v>45640</v>
      </c>
      <c r="C447" s="1" t="s">
        <v>134</v>
      </c>
      <c r="D447" t="s">
        <v>116</v>
      </c>
      <c r="E447" t="s">
        <v>475</v>
      </c>
      <c r="F447" t="s">
        <v>476</v>
      </c>
      <c r="G447" t="s">
        <v>477</v>
      </c>
      <c r="H447" t="s">
        <v>27</v>
      </c>
      <c r="I447" t="s">
        <v>75</v>
      </c>
      <c r="J447" t="s">
        <v>76</v>
      </c>
      <c r="K447" t="s">
        <v>49</v>
      </c>
      <c r="L447" t="s">
        <v>43</v>
      </c>
      <c r="M447" t="str">
        <f>INDEX( dim_segment!$A$2:$A$5,MATCH(L447,  dim_segment!$B$2:$B$5, 0))</f>
        <v>SEG004</v>
      </c>
      <c r="N447" t="s">
        <v>33</v>
      </c>
      <c r="O447" s="2">
        <v>2</v>
      </c>
      <c r="P447" s="2">
        <v>120000</v>
      </c>
      <c r="Q447">
        <v>0.09</v>
      </c>
      <c r="R447" s="2">
        <v>218400</v>
      </c>
    </row>
    <row r="448" spans="1:18" x14ac:dyDescent="0.25">
      <c r="A448" t="s">
        <v>527</v>
      </c>
      <c r="B448" s="1">
        <v>45651</v>
      </c>
      <c r="C448" s="1" t="s">
        <v>134</v>
      </c>
      <c r="D448" t="s">
        <v>116</v>
      </c>
      <c r="E448" t="s">
        <v>475</v>
      </c>
      <c r="F448" t="s">
        <v>476</v>
      </c>
      <c r="G448" t="s">
        <v>477</v>
      </c>
      <c r="H448" t="s">
        <v>27</v>
      </c>
      <c r="I448" t="s">
        <v>30</v>
      </c>
      <c r="J448" t="s">
        <v>31</v>
      </c>
      <c r="K448" t="s">
        <v>32</v>
      </c>
      <c r="L448" t="s">
        <v>23</v>
      </c>
      <c r="M448" t="str">
        <f>INDEX( dim_segment!$A$2:$A$5,MATCH(L448,  dim_segment!$B$2:$B$5, 0))</f>
        <v>SEG001</v>
      </c>
      <c r="N448" t="s">
        <v>28</v>
      </c>
      <c r="O448" s="2">
        <v>5</v>
      </c>
      <c r="P448" s="2">
        <v>60000</v>
      </c>
      <c r="Q448">
        <v>0.05</v>
      </c>
      <c r="R448" s="2">
        <v>285000</v>
      </c>
    </row>
    <row r="449" spans="1:18" x14ac:dyDescent="0.25">
      <c r="A449" t="s">
        <v>528</v>
      </c>
      <c r="B449" s="1">
        <v>45645</v>
      </c>
      <c r="C449" s="1" t="s">
        <v>134</v>
      </c>
      <c r="D449" t="s">
        <v>116</v>
      </c>
      <c r="E449" t="s">
        <v>475</v>
      </c>
      <c r="F449" t="s">
        <v>476</v>
      </c>
      <c r="G449" t="s">
        <v>477</v>
      </c>
      <c r="H449" t="s">
        <v>27</v>
      </c>
      <c r="I449" t="s">
        <v>60</v>
      </c>
      <c r="J449" t="s">
        <v>61</v>
      </c>
      <c r="K449" t="s">
        <v>26</v>
      </c>
      <c r="L449" t="s">
        <v>23</v>
      </c>
      <c r="M449" t="str">
        <f>INDEX( dim_segment!$A$2:$A$5,MATCH(L449,  dim_segment!$B$2:$B$5, 0))</f>
        <v>SEG001</v>
      </c>
      <c r="N449" t="s">
        <v>33</v>
      </c>
      <c r="O449" s="2">
        <v>2</v>
      </c>
      <c r="P449" s="2">
        <v>95000</v>
      </c>
      <c r="Q449">
        <v>0.12</v>
      </c>
      <c r="R449" s="2">
        <v>167200</v>
      </c>
    </row>
    <row r="450" spans="1:18" x14ac:dyDescent="0.25">
      <c r="A450" t="s">
        <v>529</v>
      </c>
      <c r="B450" s="1">
        <v>45633</v>
      </c>
      <c r="C450" s="1" t="s">
        <v>134</v>
      </c>
      <c r="D450" t="s">
        <v>116</v>
      </c>
      <c r="E450" t="s">
        <v>475</v>
      </c>
      <c r="F450" t="s">
        <v>476</v>
      </c>
      <c r="G450" t="s">
        <v>477</v>
      </c>
      <c r="H450" t="s">
        <v>27</v>
      </c>
      <c r="I450" t="s">
        <v>60</v>
      </c>
      <c r="J450" t="s">
        <v>61</v>
      </c>
      <c r="K450" t="s">
        <v>26</v>
      </c>
      <c r="L450" t="s">
        <v>65</v>
      </c>
      <c r="M450" t="str">
        <f>INDEX( dim_segment!$A$2:$A$5,MATCH(L450,  dim_segment!$B$2:$B$5, 0))</f>
        <v>SEG003</v>
      </c>
      <c r="N450" t="s">
        <v>54</v>
      </c>
      <c r="O450" s="2">
        <v>4</v>
      </c>
      <c r="P450" s="2">
        <v>95000</v>
      </c>
      <c r="Q450">
        <v>0.01</v>
      </c>
      <c r="R450" s="2">
        <v>376200</v>
      </c>
    </row>
    <row r="451" spans="1:18" x14ac:dyDescent="0.25">
      <c r="A451" t="s">
        <v>530</v>
      </c>
      <c r="B451" s="1">
        <v>45645</v>
      </c>
      <c r="C451" s="1" t="s">
        <v>134</v>
      </c>
      <c r="D451" t="s">
        <v>116</v>
      </c>
      <c r="E451" t="s">
        <v>475</v>
      </c>
      <c r="F451" t="s">
        <v>476</v>
      </c>
      <c r="G451" t="s">
        <v>477</v>
      </c>
      <c r="H451" t="s">
        <v>27</v>
      </c>
      <c r="I451" t="s">
        <v>24</v>
      </c>
      <c r="J451" t="s">
        <v>25</v>
      </c>
      <c r="K451" t="s">
        <v>26</v>
      </c>
      <c r="L451" t="s">
        <v>27</v>
      </c>
      <c r="M451" t="str">
        <f>INDEX( dim_segment!$A$2:$A$5,MATCH(L451,  dim_segment!$B$2:$B$5, 0))</f>
        <v>SEG002</v>
      </c>
      <c r="N451" t="s">
        <v>37</v>
      </c>
      <c r="O451" s="2">
        <v>5</v>
      </c>
      <c r="P451" s="2">
        <v>75000</v>
      </c>
      <c r="Q451">
        <v>0.02</v>
      </c>
      <c r="R451" s="2">
        <v>367500</v>
      </c>
    </row>
    <row r="452" spans="1:18" x14ac:dyDescent="0.25">
      <c r="A452" t="s">
        <v>531</v>
      </c>
      <c r="B452" s="1">
        <v>45633</v>
      </c>
      <c r="C452" s="1" t="s">
        <v>134</v>
      </c>
      <c r="D452" t="s">
        <v>116</v>
      </c>
      <c r="E452" t="s">
        <v>475</v>
      </c>
      <c r="F452" t="s">
        <v>476</v>
      </c>
      <c r="G452" t="s">
        <v>477</v>
      </c>
      <c r="H452" t="s">
        <v>27</v>
      </c>
      <c r="I452" t="s">
        <v>60</v>
      </c>
      <c r="J452" t="s">
        <v>61</v>
      </c>
      <c r="K452" t="s">
        <v>26</v>
      </c>
      <c r="L452" t="s">
        <v>27</v>
      </c>
      <c r="M452" t="str">
        <f>INDEX( dim_segment!$A$2:$A$5,MATCH(L452,  dim_segment!$B$2:$B$5, 0))</f>
        <v>SEG002</v>
      </c>
      <c r="N452" t="s">
        <v>54</v>
      </c>
      <c r="O452" s="2">
        <v>5</v>
      </c>
      <c r="P452" s="2">
        <v>95000</v>
      </c>
      <c r="Q452">
        <v>0.06</v>
      </c>
      <c r="R452" s="2">
        <v>446500</v>
      </c>
    </row>
    <row r="453" spans="1:18" x14ac:dyDescent="0.25">
      <c r="A453" t="s">
        <v>532</v>
      </c>
      <c r="B453" s="1">
        <v>45292</v>
      </c>
      <c r="C453" s="1" t="s">
        <v>18</v>
      </c>
      <c r="D453" t="s">
        <v>19</v>
      </c>
      <c r="E453" t="s">
        <v>533</v>
      </c>
      <c r="F453" t="s">
        <v>534</v>
      </c>
      <c r="G453" t="s">
        <v>278</v>
      </c>
      <c r="H453" t="s">
        <v>23</v>
      </c>
      <c r="I453" t="s">
        <v>30</v>
      </c>
      <c r="J453" t="s">
        <v>31</v>
      </c>
      <c r="K453" t="s">
        <v>32</v>
      </c>
      <c r="L453" t="s">
        <v>65</v>
      </c>
      <c r="M453" t="str">
        <f>INDEX( dim_segment!$A$2:$A$5,MATCH(L453,  dim_segment!$B$2:$B$5, 0))</f>
        <v>SEG003</v>
      </c>
      <c r="N453" t="s">
        <v>33</v>
      </c>
      <c r="O453" s="2">
        <v>1</v>
      </c>
      <c r="P453" s="2">
        <v>60000</v>
      </c>
      <c r="Q453">
        <v>7.0000000000000007E-2</v>
      </c>
      <c r="R453" s="2">
        <v>55800</v>
      </c>
    </row>
    <row r="454" spans="1:18" x14ac:dyDescent="0.25">
      <c r="A454" t="s">
        <v>535</v>
      </c>
      <c r="B454" s="1">
        <v>45295</v>
      </c>
      <c r="C454" s="1" t="s">
        <v>18</v>
      </c>
      <c r="D454" t="s">
        <v>19</v>
      </c>
      <c r="E454" t="s">
        <v>533</v>
      </c>
      <c r="F454" t="s">
        <v>534</v>
      </c>
      <c r="G454" t="s">
        <v>278</v>
      </c>
      <c r="H454" t="s">
        <v>23</v>
      </c>
      <c r="I454" t="s">
        <v>30</v>
      </c>
      <c r="J454" t="s">
        <v>31</v>
      </c>
      <c r="K454" t="s">
        <v>32</v>
      </c>
      <c r="L454" t="s">
        <v>23</v>
      </c>
      <c r="M454" t="str">
        <f>INDEX( dim_segment!$A$2:$A$5,MATCH(L454,  dim_segment!$B$2:$B$5, 0))</f>
        <v>SEG001</v>
      </c>
      <c r="N454" t="s">
        <v>28</v>
      </c>
      <c r="O454" s="2">
        <v>3</v>
      </c>
      <c r="P454" s="2">
        <v>60000</v>
      </c>
      <c r="Q454">
        <v>0.18</v>
      </c>
      <c r="R454" s="2">
        <v>147600</v>
      </c>
    </row>
    <row r="455" spans="1:18" x14ac:dyDescent="0.25">
      <c r="A455" t="s">
        <v>536</v>
      </c>
      <c r="B455" s="1">
        <v>45296</v>
      </c>
      <c r="C455" s="1" t="s">
        <v>18</v>
      </c>
      <c r="D455" t="s">
        <v>19</v>
      </c>
      <c r="E455" t="s">
        <v>533</v>
      </c>
      <c r="F455" t="s">
        <v>534</v>
      </c>
      <c r="G455" t="s">
        <v>278</v>
      </c>
      <c r="H455" t="s">
        <v>23</v>
      </c>
      <c r="I455" t="s">
        <v>75</v>
      </c>
      <c r="J455" t="s">
        <v>76</v>
      </c>
      <c r="K455" t="s">
        <v>49</v>
      </c>
      <c r="L455" t="s">
        <v>65</v>
      </c>
      <c r="M455" t="str">
        <f>INDEX( dim_segment!$A$2:$A$5,MATCH(L455,  dim_segment!$B$2:$B$5, 0))</f>
        <v>SEG003</v>
      </c>
      <c r="N455" t="s">
        <v>37</v>
      </c>
      <c r="O455" s="2">
        <v>3</v>
      </c>
      <c r="P455" s="2">
        <v>120000</v>
      </c>
      <c r="Q455">
        <v>0.15</v>
      </c>
      <c r="R455" s="2">
        <v>306000</v>
      </c>
    </row>
    <row r="456" spans="1:18" x14ac:dyDescent="0.25">
      <c r="A456" t="s">
        <v>537</v>
      </c>
      <c r="B456" s="1">
        <v>45318</v>
      </c>
      <c r="C456" s="1" t="s">
        <v>18</v>
      </c>
      <c r="D456" t="s">
        <v>19</v>
      </c>
      <c r="E456" t="s">
        <v>533</v>
      </c>
      <c r="F456" t="s">
        <v>534</v>
      </c>
      <c r="G456" t="s">
        <v>278</v>
      </c>
      <c r="H456" t="s">
        <v>23</v>
      </c>
      <c r="I456" t="s">
        <v>60</v>
      </c>
      <c r="J456" t="s">
        <v>61</v>
      </c>
      <c r="K456" t="s">
        <v>26</v>
      </c>
      <c r="L456" t="s">
        <v>65</v>
      </c>
      <c r="M456" t="str">
        <f>INDEX( dim_segment!$A$2:$A$5,MATCH(L456,  dim_segment!$B$2:$B$5, 0))</f>
        <v>SEG003</v>
      </c>
      <c r="N456" t="s">
        <v>54</v>
      </c>
      <c r="O456" s="2">
        <v>1</v>
      </c>
      <c r="P456" s="2">
        <v>95000</v>
      </c>
      <c r="Q456">
        <v>0.11</v>
      </c>
      <c r="R456" s="2">
        <v>84600</v>
      </c>
    </row>
    <row r="457" spans="1:18" x14ac:dyDescent="0.25">
      <c r="A457" t="s">
        <v>538</v>
      </c>
      <c r="B457" s="1">
        <v>45318</v>
      </c>
      <c r="C457" s="1" t="s">
        <v>18</v>
      </c>
      <c r="D457" t="s">
        <v>19</v>
      </c>
      <c r="E457" t="s">
        <v>533</v>
      </c>
      <c r="F457" t="s">
        <v>534</v>
      </c>
      <c r="G457" t="s">
        <v>278</v>
      </c>
      <c r="H457" t="s">
        <v>23</v>
      </c>
      <c r="I457" t="s">
        <v>30</v>
      </c>
      <c r="J457" t="s">
        <v>31</v>
      </c>
      <c r="K457" t="s">
        <v>32</v>
      </c>
      <c r="L457" t="s">
        <v>65</v>
      </c>
      <c r="M457" t="str">
        <f>INDEX( dim_segment!$A$2:$A$5,MATCH(L457,  dim_segment!$B$2:$B$5, 0))</f>
        <v>SEG003</v>
      </c>
      <c r="N457" t="s">
        <v>54</v>
      </c>
      <c r="O457" s="2">
        <v>4</v>
      </c>
      <c r="P457" s="2">
        <v>60000</v>
      </c>
      <c r="Q457">
        <v>0.15</v>
      </c>
      <c r="R457" s="2">
        <v>204000</v>
      </c>
    </row>
    <row r="458" spans="1:18" x14ac:dyDescent="0.25">
      <c r="A458" t="s">
        <v>539</v>
      </c>
      <c r="B458" s="1">
        <v>45295</v>
      </c>
      <c r="C458" s="1" t="s">
        <v>18</v>
      </c>
      <c r="D458" t="s">
        <v>19</v>
      </c>
      <c r="E458" t="s">
        <v>533</v>
      </c>
      <c r="F458" t="s">
        <v>534</v>
      </c>
      <c r="G458" t="s">
        <v>278</v>
      </c>
      <c r="H458" t="s">
        <v>23</v>
      </c>
      <c r="I458" t="s">
        <v>75</v>
      </c>
      <c r="J458" t="s">
        <v>76</v>
      </c>
      <c r="K458" t="s">
        <v>49</v>
      </c>
      <c r="L458" t="s">
        <v>65</v>
      </c>
      <c r="M458" t="str">
        <f>INDEX( dim_segment!$A$2:$A$5,MATCH(L458,  dim_segment!$B$2:$B$5, 0))</f>
        <v>SEG003</v>
      </c>
      <c r="N458" t="s">
        <v>37</v>
      </c>
      <c r="O458" s="2">
        <v>1</v>
      </c>
      <c r="P458" s="2">
        <v>120000</v>
      </c>
      <c r="Q458">
        <v>0.13</v>
      </c>
      <c r="R458" s="2">
        <v>104400</v>
      </c>
    </row>
    <row r="459" spans="1:18" x14ac:dyDescent="0.25">
      <c r="A459" t="s">
        <v>540</v>
      </c>
      <c r="B459" s="1">
        <v>45309</v>
      </c>
      <c r="C459" s="1" t="s">
        <v>18</v>
      </c>
      <c r="D459" t="s">
        <v>19</v>
      </c>
      <c r="E459" t="s">
        <v>533</v>
      </c>
      <c r="F459" t="s">
        <v>534</v>
      </c>
      <c r="G459" t="s">
        <v>278</v>
      </c>
      <c r="H459" t="s">
        <v>23</v>
      </c>
      <c r="I459" t="s">
        <v>30</v>
      </c>
      <c r="J459" t="s">
        <v>31</v>
      </c>
      <c r="K459" t="s">
        <v>32</v>
      </c>
      <c r="L459" t="s">
        <v>23</v>
      </c>
      <c r="M459" t="str">
        <f>INDEX( dim_segment!$A$2:$A$5,MATCH(L459,  dim_segment!$B$2:$B$5, 0))</f>
        <v>SEG001</v>
      </c>
      <c r="N459" t="s">
        <v>33</v>
      </c>
      <c r="O459" s="2">
        <v>4</v>
      </c>
      <c r="P459" s="2">
        <v>60000</v>
      </c>
      <c r="Q459">
        <v>0.1</v>
      </c>
      <c r="R459" s="2">
        <v>216000</v>
      </c>
    </row>
    <row r="460" spans="1:18" x14ac:dyDescent="0.25">
      <c r="A460" t="s">
        <v>541</v>
      </c>
      <c r="B460" s="1">
        <v>45348</v>
      </c>
      <c r="C460" s="1" t="s">
        <v>46</v>
      </c>
      <c r="D460" t="s">
        <v>19</v>
      </c>
      <c r="E460" t="s">
        <v>533</v>
      </c>
      <c r="F460" t="s">
        <v>534</v>
      </c>
      <c r="G460" t="s">
        <v>278</v>
      </c>
      <c r="H460" t="s">
        <v>23</v>
      </c>
      <c r="I460" t="s">
        <v>30</v>
      </c>
      <c r="J460" t="s">
        <v>31</v>
      </c>
      <c r="K460" t="s">
        <v>32</v>
      </c>
      <c r="L460" t="s">
        <v>23</v>
      </c>
      <c r="M460" t="str">
        <f>INDEX( dim_segment!$A$2:$A$5,MATCH(L460,  dim_segment!$B$2:$B$5, 0))</f>
        <v>SEG001</v>
      </c>
      <c r="N460" t="s">
        <v>28</v>
      </c>
      <c r="O460" s="2">
        <v>1</v>
      </c>
      <c r="P460" s="2">
        <v>60000</v>
      </c>
      <c r="Q460">
        <v>0.17</v>
      </c>
      <c r="R460" s="2">
        <v>49800</v>
      </c>
    </row>
    <row r="461" spans="1:18" x14ac:dyDescent="0.25">
      <c r="A461" t="s">
        <v>542</v>
      </c>
      <c r="B461" s="1">
        <v>45332</v>
      </c>
      <c r="C461" s="1" t="s">
        <v>46</v>
      </c>
      <c r="D461" t="s">
        <v>19</v>
      </c>
      <c r="E461" t="s">
        <v>533</v>
      </c>
      <c r="F461" t="s">
        <v>534</v>
      </c>
      <c r="G461" t="s">
        <v>278</v>
      </c>
      <c r="H461" t="s">
        <v>23</v>
      </c>
      <c r="I461" t="s">
        <v>75</v>
      </c>
      <c r="J461" t="s">
        <v>76</v>
      </c>
      <c r="K461" t="s">
        <v>49</v>
      </c>
      <c r="L461" t="s">
        <v>65</v>
      </c>
      <c r="M461" t="str">
        <f>INDEX( dim_segment!$A$2:$A$5,MATCH(L461,  dim_segment!$B$2:$B$5, 0))</f>
        <v>SEG003</v>
      </c>
      <c r="N461" t="s">
        <v>54</v>
      </c>
      <c r="O461" s="2">
        <v>3</v>
      </c>
      <c r="P461" s="2">
        <v>120000</v>
      </c>
      <c r="Q461">
        <v>0.08</v>
      </c>
      <c r="R461" s="2">
        <v>331200</v>
      </c>
    </row>
    <row r="462" spans="1:18" x14ac:dyDescent="0.25">
      <c r="A462" t="s">
        <v>543</v>
      </c>
      <c r="B462" s="1">
        <v>45345</v>
      </c>
      <c r="C462" s="1" t="s">
        <v>46</v>
      </c>
      <c r="D462" t="s">
        <v>19</v>
      </c>
      <c r="E462" t="s">
        <v>533</v>
      </c>
      <c r="F462" t="s">
        <v>534</v>
      </c>
      <c r="G462" t="s">
        <v>278</v>
      </c>
      <c r="H462" t="s">
        <v>23</v>
      </c>
      <c r="I462" t="s">
        <v>75</v>
      </c>
      <c r="J462" t="s">
        <v>76</v>
      </c>
      <c r="K462" t="s">
        <v>49</v>
      </c>
      <c r="L462" t="s">
        <v>65</v>
      </c>
      <c r="M462" t="str">
        <f>INDEX( dim_segment!$A$2:$A$5,MATCH(L462,  dim_segment!$B$2:$B$5, 0))</f>
        <v>SEG003</v>
      </c>
      <c r="N462" t="s">
        <v>28</v>
      </c>
      <c r="O462" s="2">
        <v>2</v>
      </c>
      <c r="P462" s="2">
        <v>120000</v>
      </c>
      <c r="Q462">
        <v>0.06</v>
      </c>
      <c r="R462" s="2">
        <v>225600</v>
      </c>
    </row>
    <row r="463" spans="1:18" x14ac:dyDescent="0.25">
      <c r="A463" t="s">
        <v>544</v>
      </c>
      <c r="B463" s="1">
        <v>45338</v>
      </c>
      <c r="C463" s="1" t="s">
        <v>46</v>
      </c>
      <c r="D463" t="s">
        <v>19</v>
      </c>
      <c r="E463" t="s">
        <v>533</v>
      </c>
      <c r="F463" t="s">
        <v>534</v>
      </c>
      <c r="G463" t="s">
        <v>278</v>
      </c>
      <c r="H463" t="s">
        <v>23</v>
      </c>
      <c r="I463" t="s">
        <v>30</v>
      </c>
      <c r="J463" t="s">
        <v>31</v>
      </c>
      <c r="K463" t="s">
        <v>32</v>
      </c>
      <c r="L463" t="s">
        <v>43</v>
      </c>
      <c r="M463" t="str">
        <f>INDEX( dim_segment!$A$2:$A$5,MATCH(L463,  dim_segment!$B$2:$B$5, 0))</f>
        <v>SEG004</v>
      </c>
      <c r="N463" t="s">
        <v>37</v>
      </c>
      <c r="O463" s="2">
        <v>5</v>
      </c>
      <c r="P463" s="2">
        <v>60000</v>
      </c>
      <c r="Q463">
        <v>0.19</v>
      </c>
      <c r="R463" s="2">
        <v>243000</v>
      </c>
    </row>
    <row r="464" spans="1:18" x14ac:dyDescent="0.25">
      <c r="A464" t="s">
        <v>545</v>
      </c>
      <c r="B464" s="1">
        <v>45342</v>
      </c>
      <c r="C464" s="1" t="s">
        <v>46</v>
      </c>
      <c r="D464" t="s">
        <v>19</v>
      </c>
      <c r="E464" t="s">
        <v>533</v>
      </c>
      <c r="F464" t="s">
        <v>534</v>
      </c>
      <c r="G464" t="s">
        <v>278</v>
      </c>
      <c r="H464" t="s">
        <v>23</v>
      </c>
      <c r="I464" t="s">
        <v>40</v>
      </c>
      <c r="J464" t="s">
        <v>41</v>
      </c>
      <c r="K464" t="s">
        <v>42</v>
      </c>
      <c r="L464" t="s">
        <v>65</v>
      </c>
      <c r="M464" t="str">
        <f>INDEX( dim_segment!$A$2:$A$5,MATCH(L464,  dim_segment!$B$2:$B$5, 0))</f>
        <v>SEG003</v>
      </c>
      <c r="N464" t="s">
        <v>28</v>
      </c>
      <c r="O464" s="2">
        <v>5</v>
      </c>
      <c r="P464" s="2">
        <v>85000</v>
      </c>
      <c r="Q464">
        <v>0.13</v>
      </c>
      <c r="R464" s="2">
        <v>369800</v>
      </c>
    </row>
    <row r="465" spans="1:18" x14ac:dyDescent="0.25">
      <c r="A465" t="s">
        <v>546</v>
      </c>
      <c r="B465" s="1">
        <v>45345</v>
      </c>
      <c r="C465" s="1" t="s">
        <v>46</v>
      </c>
      <c r="D465" t="s">
        <v>19</v>
      </c>
      <c r="E465" t="s">
        <v>533</v>
      </c>
      <c r="F465" t="s">
        <v>534</v>
      </c>
      <c r="G465" t="s">
        <v>278</v>
      </c>
      <c r="H465" t="s">
        <v>23</v>
      </c>
      <c r="I465" t="s">
        <v>24</v>
      </c>
      <c r="J465" t="s">
        <v>25</v>
      </c>
      <c r="K465" t="s">
        <v>26</v>
      </c>
      <c r="L465" t="s">
        <v>65</v>
      </c>
      <c r="M465" t="str">
        <f>INDEX( dim_segment!$A$2:$A$5,MATCH(L465,  dim_segment!$B$2:$B$5, 0))</f>
        <v>SEG003</v>
      </c>
      <c r="N465" t="s">
        <v>33</v>
      </c>
      <c r="O465" s="2">
        <v>4</v>
      </c>
      <c r="P465" s="2">
        <v>75000</v>
      </c>
      <c r="Q465">
        <v>0.14000000000000001</v>
      </c>
      <c r="R465" s="2">
        <v>258000</v>
      </c>
    </row>
    <row r="466" spans="1:18" x14ac:dyDescent="0.25">
      <c r="A466" t="s">
        <v>547</v>
      </c>
      <c r="B466" s="1">
        <v>45370</v>
      </c>
      <c r="C466" s="1" t="s">
        <v>56</v>
      </c>
      <c r="D466" t="s">
        <v>19</v>
      </c>
      <c r="E466" t="s">
        <v>533</v>
      </c>
      <c r="F466" t="s">
        <v>534</v>
      </c>
      <c r="G466" t="s">
        <v>278</v>
      </c>
      <c r="H466" t="s">
        <v>23</v>
      </c>
      <c r="I466" t="s">
        <v>35</v>
      </c>
      <c r="J466" t="s">
        <v>36</v>
      </c>
      <c r="K466" t="s">
        <v>32</v>
      </c>
      <c r="L466" t="s">
        <v>65</v>
      </c>
      <c r="M466" t="str">
        <f>INDEX( dim_segment!$A$2:$A$5,MATCH(L466,  dim_segment!$B$2:$B$5, 0))</f>
        <v>SEG003</v>
      </c>
      <c r="N466" t="s">
        <v>37</v>
      </c>
      <c r="O466" s="2">
        <v>1</v>
      </c>
      <c r="P466" s="2">
        <v>45000</v>
      </c>
      <c r="Q466">
        <v>0.17</v>
      </c>
      <c r="R466" s="2">
        <v>37400</v>
      </c>
    </row>
    <row r="467" spans="1:18" x14ac:dyDescent="0.25">
      <c r="A467" t="s">
        <v>548</v>
      </c>
      <c r="B467" s="1">
        <v>45375</v>
      </c>
      <c r="C467" s="1" t="s">
        <v>56</v>
      </c>
      <c r="D467" t="s">
        <v>19</v>
      </c>
      <c r="E467" t="s">
        <v>533</v>
      </c>
      <c r="F467" t="s">
        <v>534</v>
      </c>
      <c r="G467" t="s">
        <v>278</v>
      </c>
      <c r="H467" t="s">
        <v>23</v>
      </c>
      <c r="I467" t="s">
        <v>40</v>
      </c>
      <c r="J467" t="s">
        <v>41</v>
      </c>
      <c r="K467" t="s">
        <v>42</v>
      </c>
      <c r="L467" t="s">
        <v>27</v>
      </c>
      <c r="M467" t="str">
        <f>INDEX( dim_segment!$A$2:$A$5,MATCH(L467,  dim_segment!$B$2:$B$5, 0))</f>
        <v>SEG002</v>
      </c>
      <c r="N467" t="s">
        <v>54</v>
      </c>
      <c r="O467" s="2">
        <v>1</v>
      </c>
      <c r="P467" s="2">
        <v>85000</v>
      </c>
      <c r="Q467">
        <v>0.06</v>
      </c>
      <c r="R467" s="2">
        <v>79900</v>
      </c>
    </row>
    <row r="468" spans="1:18" x14ac:dyDescent="0.25">
      <c r="A468" t="s">
        <v>549</v>
      </c>
      <c r="B468" s="1">
        <v>45353</v>
      </c>
      <c r="C468" s="1" t="s">
        <v>56</v>
      </c>
      <c r="D468" t="s">
        <v>19</v>
      </c>
      <c r="E468" t="s">
        <v>533</v>
      </c>
      <c r="F468" t="s">
        <v>534</v>
      </c>
      <c r="G468" t="s">
        <v>278</v>
      </c>
      <c r="H468" t="s">
        <v>23</v>
      </c>
      <c r="I468" t="s">
        <v>47</v>
      </c>
      <c r="J468" t="s">
        <v>48</v>
      </c>
      <c r="K468" t="s">
        <v>49</v>
      </c>
      <c r="L468" t="s">
        <v>43</v>
      </c>
      <c r="M468" t="str">
        <f>INDEX( dim_segment!$A$2:$A$5,MATCH(L468,  dim_segment!$B$2:$B$5, 0))</f>
        <v>SEG004</v>
      </c>
      <c r="N468" t="s">
        <v>33</v>
      </c>
      <c r="O468" s="2">
        <v>2</v>
      </c>
      <c r="P468" s="2">
        <v>200000</v>
      </c>
      <c r="Q468">
        <v>0.05</v>
      </c>
      <c r="R468" s="2">
        <v>380000</v>
      </c>
    </row>
    <row r="469" spans="1:18" x14ac:dyDescent="0.25">
      <c r="A469" t="s">
        <v>550</v>
      </c>
      <c r="B469" s="1">
        <v>45362</v>
      </c>
      <c r="C469" s="1" t="s">
        <v>56</v>
      </c>
      <c r="D469" t="s">
        <v>19</v>
      </c>
      <c r="E469" t="s">
        <v>533</v>
      </c>
      <c r="F469" t="s">
        <v>534</v>
      </c>
      <c r="G469" t="s">
        <v>278</v>
      </c>
      <c r="H469" t="s">
        <v>23</v>
      </c>
      <c r="I469" t="s">
        <v>51</v>
      </c>
      <c r="J469" t="s">
        <v>52</v>
      </c>
      <c r="K469" t="s">
        <v>42</v>
      </c>
      <c r="L469" t="s">
        <v>43</v>
      </c>
      <c r="M469" t="str">
        <f>INDEX( dim_segment!$A$2:$A$5,MATCH(L469,  dim_segment!$B$2:$B$5, 0))</f>
        <v>SEG004</v>
      </c>
      <c r="N469" t="s">
        <v>33</v>
      </c>
      <c r="O469" s="2">
        <v>3</v>
      </c>
      <c r="P469" s="2">
        <v>150000</v>
      </c>
      <c r="Q469">
        <v>0.13</v>
      </c>
      <c r="R469" s="2">
        <v>391500</v>
      </c>
    </row>
    <row r="470" spans="1:18" x14ac:dyDescent="0.25">
      <c r="A470" t="s">
        <v>551</v>
      </c>
      <c r="B470" s="1">
        <v>45356</v>
      </c>
      <c r="C470" s="1" t="s">
        <v>56</v>
      </c>
      <c r="D470" t="s">
        <v>19</v>
      </c>
      <c r="E470" t="s">
        <v>533</v>
      </c>
      <c r="F470" t="s">
        <v>534</v>
      </c>
      <c r="G470" t="s">
        <v>278</v>
      </c>
      <c r="H470" t="s">
        <v>23</v>
      </c>
      <c r="I470" t="s">
        <v>47</v>
      </c>
      <c r="J470" t="s">
        <v>48</v>
      </c>
      <c r="K470" t="s">
        <v>49</v>
      </c>
      <c r="L470" t="s">
        <v>43</v>
      </c>
      <c r="M470" t="str">
        <f>INDEX( dim_segment!$A$2:$A$5,MATCH(L470,  dim_segment!$B$2:$B$5, 0))</f>
        <v>SEG004</v>
      </c>
      <c r="N470" t="s">
        <v>54</v>
      </c>
      <c r="O470" s="2">
        <v>3</v>
      </c>
      <c r="P470" s="2">
        <v>200000</v>
      </c>
      <c r="Q470">
        <v>0.11</v>
      </c>
      <c r="R470" s="2">
        <v>534000</v>
      </c>
    </row>
    <row r="471" spans="1:18" x14ac:dyDescent="0.25">
      <c r="A471" t="s">
        <v>552</v>
      </c>
      <c r="B471" s="1">
        <v>45377</v>
      </c>
      <c r="C471" s="1" t="s">
        <v>56</v>
      </c>
      <c r="D471" t="s">
        <v>19</v>
      </c>
      <c r="E471" t="s">
        <v>533</v>
      </c>
      <c r="F471" t="s">
        <v>534</v>
      </c>
      <c r="G471" t="s">
        <v>278</v>
      </c>
      <c r="H471" t="s">
        <v>23</v>
      </c>
      <c r="I471" t="s">
        <v>40</v>
      </c>
      <c r="J471" t="s">
        <v>41</v>
      </c>
      <c r="K471" t="s">
        <v>42</v>
      </c>
      <c r="L471" t="s">
        <v>43</v>
      </c>
      <c r="M471" t="str">
        <f>INDEX( dim_segment!$A$2:$A$5,MATCH(L471,  dim_segment!$B$2:$B$5, 0))</f>
        <v>SEG004</v>
      </c>
      <c r="N471" t="s">
        <v>33</v>
      </c>
      <c r="O471" s="2">
        <v>5</v>
      </c>
      <c r="P471" s="2">
        <v>85000</v>
      </c>
      <c r="Q471">
        <v>0.06</v>
      </c>
      <c r="R471" s="2">
        <v>399500</v>
      </c>
    </row>
    <row r="472" spans="1:18" x14ac:dyDescent="0.25">
      <c r="A472" t="s">
        <v>553</v>
      </c>
      <c r="B472" s="1">
        <v>45370</v>
      </c>
      <c r="C472" s="1" t="s">
        <v>56</v>
      </c>
      <c r="D472" t="s">
        <v>19</v>
      </c>
      <c r="E472" t="s">
        <v>533</v>
      </c>
      <c r="F472" t="s">
        <v>534</v>
      </c>
      <c r="G472" t="s">
        <v>278</v>
      </c>
      <c r="H472" t="s">
        <v>23</v>
      </c>
      <c r="I472" t="s">
        <v>30</v>
      </c>
      <c r="J472" t="s">
        <v>31</v>
      </c>
      <c r="K472" t="s">
        <v>32</v>
      </c>
      <c r="L472" t="s">
        <v>65</v>
      </c>
      <c r="M472" t="str">
        <f>INDEX( dim_segment!$A$2:$A$5,MATCH(L472,  dim_segment!$B$2:$B$5, 0))</f>
        <v>SEG003</v>
      </c>
      <c r="N472" t="s">
        <v>54</v>
      </c>
      <c r="O472" s="2">
        <v>3</v>
      </c>
      <c r="P472" s="2">
        <v>60000</v>
      </c>
      <c r="Q472">
        <v>0.16</v>
      </c>
      <c r="R472" s="2">
        <v>151200</v>
      </c>
    </row>
    <row r="473" spans="1:18" x14ac:dyDescent="0.25">
      <c r="A473" t="s">
        <v>554</v>
      </c>
      <c r="B473" s="1">
        <v>45359</v>
      </c>
      <c r="C473" s="1" t="s">
        <v>56</v>
      </c>
      <c r="D473" t="s">
        <v>19</v>
      </c>
      <c r="E473" t="s">
        <v>533</v>
      </c>
      <c r="F473" t="s">
        <v>534</v>
      </c>
      <c r="G473" t="s">
        <v>278</v>
      </c>
      <c r="H473" t="s">
        <v>23</v>
      </c>
      <c r="I473" t="s">
        <v>40</v>
      </c>
      <c r="J473" t="s">
        <v>41</v>
      </c>
      <c r="K473" t="s">
        <v>42</v>
      </c>
      <c r="L473" t="s">
        <v>23</v>
      </c>
      <c r="M473" t="str">
        <f>INDEX( dim_segment!$A$2:$A$5,MATCH(L473,  dim_segment!$B$2:$B$5, 0))</f>
        <v>SEG001</v>
      </c>
      <c r="N473" t="s">
        <v>37</v>
      </c>
      <c r="O473" s="2">
        <v>2</v>
      </c>
      <c r="P473" s="2">
        <v>85000</v>
      </c>
      <c r="Q473">
        <v>0.16</v>
      </c>
      <c r="R473" s="2">
        <v>142800</v>
      </c>
    </row>
    <row r="474" spans="1:18" x14ac:dyDescent="0.25">
      <c r="A474" t="s">
        <v>555</v>
      </c>
      <c r="B474" s="1">
        <v>45389</v>
      </c>
      <c r="C474" s="1" t="s">
        <v>67</v>
      </c>
      <c r="D474" t="s">
        <v>68</v>
      </c>
      <c r="E474" t="s">
        <v>533</v>
      </c>
      <c r="F474" t="s">
        <v>534</v>
      </c>
      <c r="G474" t="s">
        <v>278</v>
      </c>
      <c r="H474" t="s">
        <v>23</v>
      </c>
      <c r="I474" t="s">
        <v>60</v>
      </c>
      <c r="J474" t="s">
        <v>61</v>
      </c>
      <c r="K474" t="s">
        <v>26</v>
      </c>
      <c r="L474" t="s">
        <v>65</v>
      </c>
      <c r="M474" t="str">
        <f>INDEX( dim_segment!$A$2:$A$5,MATCH(L474,  dim_segment!$B$2:$B$5, 0))</f>
        <v>SEG003</v>
      </c>
      <c r="N474" t="s">
        <v>33</v>
      </c>
      <c r="O474" s="2">
        <v>3</v>
      </c>
      <c r="P474" s="2">
        <v>95000</v>
      </c>
      <c r="Q474">
        <v>0.12</v>
      </c>
      <c r="R474" s="2">
        <v>250800</v>
      </c>
    </row>
    <row r="475" spans="1:18" x14ac:dyDescent="0.25">
      <c r="A475" t="s">
        <v>556</v>
      </c>
      <c r="B475" s="1">
        <v>45408</v>
      </c>
      <c r="C475" s="1" t="s">
        <v>67</v>
      </c>
      <c r="D475" t="s">
        <v>68</v>
      </c>
      <c r="E475" t="s">
        <v>533</v>
      </c>
      <c r="F475" t="s">
        <v>534</v>
      </c>
      <c r="G475" t="s">
        <v>278</v>
      </c>
      <c r="H475" t="s">
        <v>23</v>
      </c>
      <c r="I475" t="s">
        <v>75</v>
      </c>
      <c r="J475" t="s">
        <v>76</v>
      </c>
      <c r="K475" t="s">
        <v>49</v>
      </c>
      <c r="L475" t="s">
        <v>27</v>
      </c>
      <c r="M475" t="str">
        <f>INDEX( dim_segment!$A$2:$A$5,MATCH(L475,  dim_segment!$B$2:$B$5, 0))</f>
        <v>SEG002</v>
      </c>
      <c r="N475" t="s">
        <v>33</v>
      </c>
      <c r="O475" s="2">
        <v>3</v>
      </c>
      <c r="P475" s="2">
        <v>120000</v>
      </c>
      <c r="Q475">
        <v>0.12</v>
      </c>
      <c r="R475" s="2">
        <v>316800</v>
      </c>
    </row>
    <row r="476" spans="1:18" x14ac:dyDescent="0.25">
      <c r="A476" t="s">
        <v>557</v>
      </c>
      <c r="B476" s="1">
        <v>45410</v>
      </c>
      <c r="C476" s="1" t="s">
        <v>67</v>
      </c>
      <c r="D476" t="s">
        <v>68</v>
      </c>
      <c r="E476" t="s">
        <v>533</v>
      </c>
      <c r="F476" t="s">
        <v>534</v>
      </c>
      <c r="G476" t="s">
        <v>278</v>
      </c>
      <c r="H476" t="s">
        <v>23</v>
      </c>
      <c r="I476" t="s">
        <v>35</v>
      </c>
      <c r="J476" t="s">
        <v>36</v>
      </c>
      <c r="K476" t="s">
        <v>32</v>
      </c>
      <c r="L476" t="s">
        <v>23</v>
      </c>
      <c r="M476" t="str">
        <f>INDEX( dim_segment!$A$2:$A$5,MATCH(L476,  dim_segment!$B$2:$B$5, 0))</f>
        <v>SEG001</v>
      </c>
      <c r="N476" t="s">
        <v>28</v>
      </c>
      <c r="O476" s="2">
        <v>5</v>
      </c>
      <c r="P476" s="2">
        <v>45000</v>
      </c>
      <c r="Q476">
        <v>0.12</v>
      </c>
      <c r="R476" s="2">
        <v>198000</v>
      </c>
    </row>
    <row r="477" spans="1:18" x14ac:dyDescent="0.25">
      <c r="A477" t="s">
        <v>558</v>
      </c>
      <c r="B477" s="1">
        <v>45384</v>
      </c>
      <c r="C477" s="1" t="s">
        <v>67</v>
      </c>
      <c r="D477" t="s">
        <v>68</v>
      </c>
      <c r="E477" t="s">
        <v>533</v>
      </c>
      <c r="F477" t="s">
        <v>534</v>
      </c>
      <c r="G477" t="s">
        <v>278</v>
      </c>
      <c r="H477" t="s">
        <v>23</v>
      </c>
      <c r="I477" t="s">
        <v>60</v>
      </c>
      <c r="J477" t="s">
        <v>61</v>
      </c>
      <c r="K477" t="s">
        <v>26</v>
      </c>
      <c r="L477" t="s">
        <v>65</v>
      </c>
      <c r="M477" t="str">
        <f>INDEX( dim_segment!$A$2:$A$5,MATCH(L477,  dim_segment!$B$2:$B$5, 0))</f>
        <v>SEG003</v>
      </c>
      <c r="N477" t="s">
        <v>28</v>
      </c>
      <c r="O477" s="2">
        <v>4</v>
      </c>
      <c r="P477" s="2">
        <v>95000</v>
      </c>
      <c r="Q477">
        <v>0.2</v>
      </c>
      <c r="R477" s="2">
        <v>304000</v>
      </c>
    </row>
    <row r="478" spans="1:18" x14ac:dyDescent="0.25">
      <c r="A478" t="s">
        <v>559</v>
      </c>
      <c r="B478" s="1">
        <v>45435</v>
      </c>
      <c r="C478" s="1" t="s">
        <v>78</v>
      </c>
      <c r="D478" t="s">
        <v>68</v>
      </c>
      <c r="E478" t="s">
        <v>533</v>
      </c>
      <c r="F478" t="s">
        <v>534</v>
      </c>
      <c r="G478" t="s">
        <v>278</v>
      </c>
      <c r="H478" t="s">
        <v>23</v>
      </c>
      <c r="I478" t="s">
        <v>75</v>
      </c>
      <c r="J478" t="s">
        <v>76</v>
      </c>
      <c r="K478" t="s">
        <v>49</v>
      </c>
      <c r="L478" t="s">
        <v>43</v>
      </c>
      <c r="M478" t="str">
        <f>INDEX( dim_segment!$A$2:$A$5,MATCH(L478,  dim_segment!$B$2:$B$5, 0))</f>
        <v>SEG004</v>
      </c>
      <c r="N478" t="s">
        <v>54</v>
      </c>
      <c r="O478" s="2">
        <v>4</v>
      </c>
      <c r="P478" s="2">
        <v>120000</v>
      </c>
      <c r="Q478">
        <v>0.08</v>
      </c>
      <c r="R478" s="2">
        <v>441600</v>
      </c>
    </row>
    <row r="479" spans="1:18" x14ac:dyDescent="0.25">
      <c r="A479" t="s">
        <v>560</v>
      </c>
      <c r="B479" s="1">
        <v>45416</v>
      </c>
      <c r="C479" s="1" t="s">
        <v>78</v>
      </c>
      <c r="D479" t="s">
        <v>68</v>
      </c>
      <c r="E479" t="s">
        <v>533</v>
      </c>
      <c r="F479" t="s">
        <v>534</v>
      </c>
      <c r="G479" t="s">
        <v>278</v>
      </c>
      <c r="H479" t="s">
        <v>23</v>
      </c>
      <c r="I479" t="s">
        <v>35</v>
      </c>
      <c r="J479" t="s">
        <v>36</v>
      </c>
      <c r="K479" t="s">
        <v>32</v>
      </c>
      <c r="L479" t="s">
        <v>27</v>
      </c>
      <c r="M479" t="str">
        <f>INDEX( dim_segment!$A$2:$A$5,MATCH(L479,  dim_segment!$B$2:$B$5, 0))</f>
        <v>SEG002</v>
      </c>
      <c r="N479" t="s">
        <v>28</v>
      </c>
      <c r="O479" s="2">
        <v>4</v>
      </c>
      <c r="P479" s="2">
        <v>45000</v>
      </c>
      <c r="Q479">
        <v>0.06</v>
      </c>
      <c r="R479" s="2">
        <v>169200</v>
      </c>
    </row>
    <row r="480" spans="1:18" x14ac:dyDescent="0.25">
      <c r="A480" t="s">
        <v>561</v>
      </c>
      <c r="B480" s="1">
        <v>45435</v>
      </c>
      <c r="C480" s="1" t="s">
        <v>78</v>
      </c>
      <c r="D480" t="s">
        <v>68</v>
      </c>
      <c r="E480" t="s">
        <v>533</v>
      </c>
      <c r="F480" t="s">
        <v>534</v>
      </c>
      <c r="G480" t="s">
        <v>278</v>
      </c>
      <c r="H480" t="s">
        <v>23</v>
      </c>
      <c r="I480" t="s">
        <v>24</v>
      </c>
      <c r="J480" t="s">
        <v>25</v>
      </c>
      <c r="K480" t="s">
        <v>26</v>
      </c>
      <c r="L480" t="s">
        <v>43</v>
      </c>
      <c r="M480" t="str">
        <f>INDEX( dim_segment!$A$2:$A$5,MATCH(L480,  dim_segment!$B$2:$B$5, 0))</f>
        <v>SEG004</v>
      </c>
      <c r="N480" t="s">
        <v>33</v>
      </c>
      <c r="O480" s="2">
        <v>4</v>
      </c>
      <c r="P480" s="2">
        <v>75000</v>
      </c>
      <c r="Q480">
        <v>0.13</v>
      </c>
      <c r="R480" s="2">
        <v>261000</v>
      </c>
    </row>
    <row r="481" spans="1:18" x14ac:dyDescent="0.25">
      <c r="A481" t="s">
        <v>562</v>
      </c>
      <c r="B481" s="1">
        <v>45425</v>
      </c>
      <c r="C481" s="1" t="s">
        <v>78</v>
      </c>
      <c r="D481" t="s">
        <v>68</v>
      </c>
      <c r="E481" t="s">
        <v>533</v>
      </c>
      <c r="F481" t="s">
        <v>534</v>
      </c>
      <c r="G481" t="s">
        <v>278</v>
      </c>
      <c r="H481" t="s">
        <v>23</v>
      </c>
      <c r="I481" t="s">
        <v>47</v>
      </c>
      <c r="J481" t="s">
        <v>48</v>
      </c>
      <c r="K481" t="s">
        <v>49</v>
      </c>
      <c r="L481" t="s">
        <v>23</v>
      </c>
      <c r="M481" t="str">
        <f>INDEX( dim_segment!$A$2:$A$5,MATCH(L481,  dim_segment!$B$2:$B$5, 0))</f>
        <v>SEG001</v>
      </c>
      <c r="N481" t="s">
        <v>33</v>
      </c>
      <c r="O481" s="2">
        <v>3</v>
      </c>
      <c r="P481" s="2">
        <v>200000</v>
      </c>
      <c r="Q481">
        <v>0.12</v>
      </c>
      <c r="R481" s="2">
        <v>528000</v>
      </c>
    </row>
    <row r="482" spans="1:18" x14ac:dyDescent="0.25">
      <c r="A482" t="s">
        <v>563</v>
      </c>
      <c r="B482" s="1">
        <v>45460</v>
      </c>
      <c r="C482" s="1" t="s">
        <v>84</v>
      </c>
      <c r="D482" t="s">
        <v>68</v>
      </c>
      <c r="E482" t="s">
        <v>533</v>
      </c>
      <c r="F482" t="s">
        <v>534</v>
      </c>
      <c r="G482" t="s">
        <v>278</v>
      </c>
      <c r="H482" t="s">
        <v>23</v>
      </c>
      <c r="I482" t="s">
        <v>60</v>
      </c>
      <c r="J482" t="s">
        <v>61</v>
      </c>
      <c r="K482" t="s">
        <v>26</v>
      </c>
      <c r="L482" t="s">
        <v>65</v>
      </c>
      <c r="M482" t="str">
        <f>INDEX( dim_segment!$A$2:$A$5,MATCH(L482,  dim_segment!$B$2:$B$5, 0))</f>
        <v>SEG003</v>
      </c>
      <c r="N482" t="s">
        <v>54</v>
      </c>
      <c r="O482" s="2">
        <v>1</v>
      </c>
      <c r="P482" s="2">
        <v>95000</v>
      </c>
      <c r="Q482">
        <v>0.15</v>
      </c>
      <c r="R482" s="2">
        <v>80800</v>
      </c>
    </row>
    <row r="483" spans="1:18" x14ac:dyDescent="0.25">
      <c r="A483" t="s">
        <v>564</v>
      </c>
      <c r="B483" s="1">
        <v>45445</v>
      </c>
      <c r="C483" s="1" t="s">
        <v>84</v>
      </c>
      <c r="D483" t="s">
        <v>68</v>
      </c>
      <c r="E483" t="s">
        <v>533</v>
      </c>
      <c r="F483" t="s">
        <v>534</v>
      </c>
      <c r="G483" t="s">
        <v>278</v>
      </c>
      <c r="H483" t="s">
        <v>23</v>
      </c>
      <c r="I483" t="s">
        <v>47</v>
      </c>
      <c r="J483" t="s">
        <v>48</v>
      </c>
      <c r="K483" t="s">
        <v>49</v>
      </c>
      <c r="L483" t="s">
        <v>27</v>
      </c>
      <c r="M483" t="str">
        <f>INDEX( dim_segment!$A$2:$A$5,MATCH(L483,  dim_segment!$B$2:$B$5, 0))</f>
        <v>SEG002</v>
      </c>
      <c r="N483" t="s">
        <v>33</v>
      </c>
      <c r="O483" s="2">
        <v>5</v>
      </c>
      <c r="P483" s="2">
        <v>200000</v>
      </c>
      <c r="Q483">
        <v>0.18</v>
      </c>
      <c r="R483" s="2">
        <v>820000</v>
      </c>
    </row>
    <row r="484" spans="1:18" x14ac:dyDescent="0.25">
      <c r="A484" t="s">
        <v>565</v>
      </c>
      <c r="B484" s="1">
        <v>45462</v>
      </c>
      <c r="C484" s="1" t="s">
        <v>84</v>
      </c>
      <c r="D484" t="s">
        <v>68</v>
      </c>
      <c r="E484" t="s">
        <v>533</v>
      </c>
      <c r="F484" t="s">
        <v>534</v>
      </c>
      <c r="G484" t="s">
        <v>278</v>
      </c>
      <c r="H484" t="s">
        <v>23</v>
      </c>
      <c r="I484" t="s">
        <v>24</v>
      </c>
      <c r="J484" t="s">
        <v>25</v>
      </c>
      <c r="K484" t="s">
        <v>26</v>
      </c>
      <c r="L484" t="s">
        <v>65</v>
      </c>
      <c r="M484" t="str">
        <f>INDEX( dim_segment!$A$2:$A$5,MATCH(L484,  dim_segment!$B$2:$B$5, 0))</f>
        <v>SEG003</v>
      </c>
      <c r="N484" t="s">
        <v>28</v>
      </c>
      <c r="O484" s="2">
        <v>2</v>
      </c>
      <c r="P484" s="2">
        <v>75000</v>
      </c>
      <c r="Q484">
        <v>0.08</v>
      </c>
      <c r="R484" s="2">
        <v>138000</v>
      </c>
    </row>
    <row r="485" spans="1:18" x14ac:dyDescent="0.25">
      <c r="A485" t="s">
        <v>566</v>
      </c>
      <c r="B485" s="1">
        <v>45447</v>
      </c>
      <c r="C485" s="1" t="s">
        <v>84</v>
      </c>
      <c r="D485" t="s">
        <v>68</v>
      </c>
      <c r="E485" t="s">
        <v>533</v>
      </c>
      <c r="F485" t="s">
        <v>534</v>
      </c>
      <c r="G485" t="s">
        <v>278</v>
      </c>
      <c r="H485" t="s">
        <v>23</v>
      </c>
      <c r="I485" t="s">
        <v>51</v>
      </c>
      <c r="J485" t="s">
        <v>52</v>
      </c>
      <c r="K485" t="s">
        <v>42</v>
      </c>
      <c r="L485" t="s">
        <v>23</v>
      </c>
      <c r="M485" t="str">
        <f>INDEX( dim_segment!$A$2:$A$5,MATCH(L485,  dim_segment!$B$2:$B$5, 0))</f>
        <v>SEG001</v>
      </c>
      <c r="N485" t="s">
        <v>28</v>
      </c>
      <c r="O485" s="2">
        <v>3</v>
      </c>
      <c r="P485" s="2">
        <v>150000</v>
      </c>
      <c r="Q485">
        <v>0.16</v>
      </c>
      <c r="R485" s="2">
        <v>378000</v>
      </c>
    </row>
    <row r="486" spans="1:18" x14ac:dyDescent="0.25">
      <c r="A486" t="s">
        <v>567</v>
      </c>
      <c r="B486" s="1">
        <v>45462</v>
      </c>
      <c r="C486" s="1" t="s">
        <v>84</v>
      </c>
      <c r="D486" t="s">
        <v>68</v>
      </c>
      <c r="E486" t="s">
        <v>533</v>
      </c>
      <c r="F486" t="s">
        <v>534</v>
      </c>
      <c r="G486" t="s">
        <v>278</v>
      </c>
      <c r="H486" t="s">
        <v>23</v>
      </c>
      <c r="I486" t="s">
        <v>60</v>
      </c>
      <c r="J486" t="s">
        <v>61</v>
      </c>
      <c r="K486" t="s">
        <v>26</v>
      </c>
      <c r="L486" t="s">
        <v>23</v>
      </c>
      <c r="M486" t="str">
        <f>INDEX( dim_segment!$A$2:$A$5,MATCH(L486,  dim_segment!$B$2:$B$5, 0))</f>
        <v>SEG001</v>
      </c>
      <c r="N486" t="s">
        <v>37</v>
      </c>
      <c r="O486" s="2">
        <v>3</v>
      </c>
      <c r="P486" s="2">
        <v>95000</v>
      </c>
      <c r="Q486">
        <v>0.16</v>
      </c>
      <c r="R486" s="2">
        <v>239400</v>
      </c>
    </row>
    <row r="487" spans="1:18" x14ac:dyDescent="0.25">
      <c r="A487" t="s">
        <v>568</v>
      </c>
      <c r="B487" s="1">
        <v>45460</v>
      </c>
      <c r="C487" s="1" t="s">
        <v>84</v>
      </c>
      <c r="D487" t="s">
        <v>68</v>
      </c>
      <c r="E487" t="s">
        <v>533</v>
      </c>
      <c r="F487" t="s">
        <v>534</v>
      </c>
      <c r="G487" t="s">
        <v>278</v>
      </c>
      <c r="H487" t="s">
        <v>23</v>
      </c>
      <c r="I487" t="s">
        <v>40</v>
      </c>
      <c r="J487" t="s">
        <v>41</v>
      </c>
      <c r="K487" t="s">
        <v>42</v>
      </c>
      <c r="L487" t="s">
        <v>23</v>
      </c>
      <c r="M487" t="str">
        <f>INDEX( dim_segment!$A$2:$A$5,MATCH(L487,  dim_segment!$B$2:$B$5, 0))</f>
        <v>SEG001</v>
      </c>
      <c r="N487" t="s">
        <v>54</v>
      </c>
      <c r="O487" s="2">
        <v>4</v>
      </c>
      <c r="P487" s="2">
        <v>85000</v>
      </c>
      <c r="Q487">
        <v>0.15</v>
      </c>
      <c r="R487" s="2">
        <v>289000</v>
      </c>
    </row>
    <row r="488" spans="1:18" x14ac:dyDescent="0.25">
      <c r="A488" t="s">
        <v>569</v>
      </c>
      <c r="B488" s="1">
        <v>45496</v>
      </c>
      <c r="C488" s="1" t="s">
        <v>92</v>
      </c>
      <c r="D488" t="s">
        <v>93</v>
      </c>
      <c r="E488" t="s">
        <v>533</v>
      </c>
      <c r="F488" t="s">
        <v>534</v>
      </c>
      <c r="G488" t="s">
        <v>278</v>
      </c>
      <c r="H488" t="s">
        <v>23</v>
      </c>
      <c r="I488" t="s">
        <v>40</v>
      </c>
      <c r="J488" t="s">
        <v>41</v>
      </c>
      <c r="K488" t="s">
        <v>42</v>
      </c>
      <c r="L488" t="s">
        <v>65</v>
      </c>
      <c r="M488" t="str">
        <f>INDEX( dim_segment!$A$2:$A$5,MATCH(L488,  dim_segment!$B$2:$B$5, 0))</f>
        <v>SEG003</v>
      </c>
      <c r="N488" t="s">
        <v>33</v>
      </c>
      <c r="O488" s="2">
        <v>2</v>
      </c>
      <c r="P488" s="2">
        <v>85000</v>
      </c>
      <c r="Q488">
        <v>0.05</v>
      </c>
      <c r="R488" s="2">
        <v>161500</v>
      </c>
    </row>
    <row r="489" spans="1:18" x14ac:dyDescent="0.25">
      <c r="A489" t="s">
        <v>570</v>
      </c>
      <c r="B489" s="1">
        <v>45476</v>
      </c>
      <c r="C489" s="1" t="s">
        <v>92</v>
      </c>
      <c r="D489" t="s">
        <v>93</v>
      </c>
      <c r="E489" t="s">
        <v>533</v>
      </c>
      <c r="F489" t="s">
        <v>534</v>
      </c>
      <c r="G489" t="s">
        <v>278</v>
      </c>
      <c r="H489" t="s">
        <v>23</v>
      </c>
      <c r="I489" t="s">
        <v>35</v>
      </c>
      <c r="J489" t="s">
        <v>36</v>
      </c>
      <c r="K489" t="s">
        <v>32</v>
      </c>
      <c r="L489" t="s">
        <v>43</v>
      </c>
      <c r="M489" t="str">
        <f>INDEX( dim_segment!$A$2:$A$5,MATCH(L489,  dim_segment!$B$2:$B$5, 0))</f>
        <v>SEG004</v>
      </c>
      <c r="N489" t="s">
        <v>33</v>
      </c>
      <c r="O489" s="2">
        <v>2</v>
      </c>
      <c r="P489" s="2">
        <v>45000</v>
      </c>
      <c r="Q489">
        <v>7.0000000000000007E-2</v>
      </c>
      <c r="R489" s="2">
        <v>83700</v>
      </c>
    </row>
    <row r="490" spans="1:18" x14ac:dyDescent="0.25">
      <c r="A490" t="s">
        <v>571</v>
      </c>
      <c r="B490" s="1">
        <v>45482</v>
      </c>
      <c r="C490" s="1" t="s">
        <v>92</v>
      </c>
      <c r="D490" t="s">
        <v>93</v>
      </c>
      <c r="E490" t="s">
        <v>533</v>
      </c>
      <c r="F490" t="s">
        <v>534</v>
      </c>
      <c r="G490" t="s">
        <v>278</v>
      </c>
      <c r="H490" t="s">
        <v>23</v>
      </c>
      <c r="I490" t="s">
        <v>40</v>
      </c>
      <c r="J490" t="s">
        <v>41</v>
      </c>
      <c r="K490" t="s">
        <v>42</v>
      </c>
      <c r="L490" t="s">
        <v>27</v>
      </c>
      <c r="M490" t="str">
        <f>INDEX( dim_segment!$A$2:$A$5,MATCH(L490,  dim_segment!$B$2:$B$5, 0))</f>
        <v>SEG002</v>
      </c>
      <c r="N490" t="s">
        <v>37</v>
      </c>
      <c r="O490" s="2">
        <v>1</v>
      </c>
      <c r="P490" s="2">
        <v>85000</v>
      </c>
      <c r="Q490">
        <v>0.14000000000000001</v>
      </c>
      <c r="R490" s="2">
        <v>73100</v>
      </c>
    </row>
    <row r="491" spans="1:18" x14ac:dyDescent="0.25">
      <c r="A491" t="s">
        <v>572</v>
      </c>
      <c r="B491" s="1">
        <v>45494</v>
      </c>
      <c r="C491" s="1" t="s">
        <v>92</v>
      </c>
      <c r="D491" t="s">
        <v>93</v>
      </c>
      <c r="E491" t="s">
        <v>533</v>
      </c>
      <c r="F491" t="s">
        <v>534</v>
      </c>
      <c r="G491" t="s">
        <v>278</v>
      </c>
      <c r="H491" t="s">
        <v>23</v>
      </c>
      <c r="I491" t="s">
        <v>47</v>
      </c>
      <c r="J491" t="s">
        <v>48</v>
      </c>
      <c r="K491" t="s">
        <v>49</v>
      </c>
      <c r="L491" t="s">
        <v>23</v>
      </c>
      <c r="M491" t="str">
        <f>INDEX( dim_segment!$A$2:$A$5,MATCH(L491,  dim_segment!$B$2:$B$5, 0))</f>
        <v>SEG001</v>
      </c>
      <c r="N491" t="s">
        <v>37</v>
      </c>
      <c r="O491" s="2">
        <v>5</v>
      </c>
      <c r="P491" s="2">
        <v>200000</v>
      </c>
      <c r="Q491">
        <v>0.06</v>
      </c>
      <c r="R491" s="2">
        <v>940000</v>
      </c>
    </row>
    <row r="492" spans="1:18" x14ac:dyDescent="0.25">
      <c r="A492" t="s">
        <v>573</v>
      </c>
      <c r="B492" s="1">
        <v>45475</v>
      </c>
      <c r="C492" s="1" t="s">
        <v>92</v>
      </c>
      <c r="D492" t="s">
        <v>93</v>
      </c>
      <c r="E492" t="s">
        <v>533</v>
      </c>
      <c r="F492" t="s">
        <v>534</v>
      </c>
      <c r="G492" t="s">
        <v>278</v>
      </c>
      <c r="H492" t="s">
        <v>23</v>
      </c>
      <c r="I492" t="s">
        <v>47</v>
      </c>
      <c r="J492" t="s">
        <v>48</v>
      </c>
      <c r="K492" t="s">
        <v>49</v>
      </c>
      <c r="L492" t="s">
        <v>43</v>
      </c>
      <c r="M492" t="str">
        <f>INDEX( dim_segment!$A$2:$A$5,MATCH(L492,  dim_segment!$B$2:$B$5, 0))</f>
        <v>SEG004</v>
      </c>
      <c r="N492" t="s">
        <v>33</v>
      </c>
      <c r="O492" s="2">
        <v>4</v>
      </c>
      <c r="P492" s="2">
        <v>200000</v>
      </c>
      <c r="Q492">
        <v>0.06</v>
      </c>
      <c r="R492" s="2">
        <v>752000</v>
      </c>
    </row>
    <row r="493" spans="1:18" x14ac:dyDescent="0.25">
      <c r="A493" t="s">
        <v>574</v>
      </c>
      <c r="B493" s="1">
        <v>45523</v>
      </c>
      <c r="C493" s="1" t="s">
        <v>102</v>
      </c>
      <c r="D493" t="s">
        <v>93</v>
      </c>
      <c r="E493" t="s">
        <v>533</v>
      </c>
      <c r="F493" t="s">
        <v>534</v>
      </c>
      <c r="G493" t="s">
        <v>278</v>
      </c>
      <c r="H493" t="s">
        <v>23</v>
      </c>
      <c r="I493" t="s">
        <v>24</v>
      </c>
      <c r="J493" t="s">
        <v>25</v>
      </c>
      <c r="K493" t="s">
        <v>26</v>
      </c>
      <c r="L493" t="s">
        <v>65</v>
      </c>
      <c r="M493" t="str">
        <f>INDEX( dim_segment!$A$2:$A$5,MATCH(L493,  dim_segment!$B$2:$B$5, 0))</f>
        <v>SEG003</v>
      </c>
      <c r="N493" t="s">
        <v>54</v>
      </c>
      <c r="O493" s="2">
        <v>3</v>
      </c>
      <c r="P493" s="2">
        <v>75000</v>
      </c>
      <c r="Q493">
        <v>0.09</v>
      </c>
      <c r="R493" s="2">
        <v>204800</v>
      </c>
    </row>
    <row r="494" spans="1:18" x14ac:dyDescent="0.25">
      <c r="A494" t="s">
        <v>575</v>
      </c>
      <c r="B494" s="1">
        <v>45513</v>
      </c>
      <c r="C494" s="1" t="s">
        <v>102</v>
      </c>
      <c r="D494" t="s">
        <v>93</v>
      </c>
      <c r="E494" t="s">
        <v>533</v>
      </c>
      <c r="F494" t="s">
        <v>534</v>
      </c>
      <c r="G494" t="s">
        <v>278</v>
      </c>
      <c r="H494" t="s">
        <v>23</v>
      </c>
      <c r="I494" t="s">
        <v>30</v>
      </c>
      <c r="J494" t="s">
        <v>31</v>
      </c>
      <c r="K494" t="s">
        <v>32</v>
      </c>
      <c r="L494" t="s">
        <v>43</v>
      </c>
      <c r="M494" t="str">
        <f>INDEX( dim_segment!$A$2:$A$5,MATCH(L494,  dim_segment!$B$2:$B$5, 0))</f>
        <v>SEG004</v>
      </c>
      <c r="N494" t="s">
        <v>37</v>
      </c>
      <c r="O494" s="2">
        <v>5</v>
      </c>
      <c r="P494" s="2">
        <v>60000</v>
      </c>
      <c r="Q494">
        <v>0.15</v>
      </c>
      <c r="R494" s="2">
        <v>255000</v>
      </c>
    </row>
    <row r="495" spans="1:18" x14ac:dyDescent="0.25">
      <c r="A495" t="s">
        <v>576</v>
      </c>
      <c r="B495" s="1">
        <v>45508</v>
      </c>
      <c r="C495" s="1" t="s">
        <v>102</v>
      </c>
      <c r="D495" t="s">
        <v>93</v>
      </c>
      <c r="E495" t="s">
        <v>533</v>
      </c>
      <c r="F495" t="s">
        <v>534</v>
      </c>
      <c r="G495" t="s">
        <v>278</v>
      </c>
      <c r="H495" t="s">
        <v>23</v>
      </c>
      <c r="I495" t="s">
        <v>47</v>
      </c>
      <c r="J495" t="s">
        <v>48</v>
      </c>
      <c r="K495" t="s">
        <v>49</v>
      </c>
      <c r="L495" t="s">
        <v>43</v>
      </c>
      <c r="M495" t="str">
        <f>INDEX( dim_segment!$A$2:$A$5,MATCH(L495,  dim_segment!$B$2:$B$5, 0))</f>
        <v>SEG004</v>
      </c>
      <c r="N495" t="s">
        <v>28</v>
      </c>
      <c r="O495" s="2">
        <v>4</v>
      </c>
      <c r="P495" s="2">
        <v>200000</v>
      </c>
      <c r="Q495">
        <v>0.17</v>
      </c>
      <c r="R495" s="2">
        <v>664000</v>
      </c>
    </row>
    <row r="496" spans="1:18" x14ac:dyDescent="0.25">
      <c r="A496" t="s">
        <v>577</v>
      </c>
      <c r="B496" s="1">
        <v>45526</v>
      </c>
      <c r="C496" s="1" t="s">
        <v>102</v>
      </c>
      <c r="D496" t="s">
        <v>93</v>
      </c>
      <c r="E496" t="s">
        <v>533</v>
      </c>
      <c r="F496" t="s">
        <v>534</v>
      </c>
      <c r="G496" t="s">
        <v>278</v>
      </c>
      <c r="H496" t="s">
        <v>23</v>
      </c>
      <c r="I496" t="s">
        <v>30</v>
      </c>
      <c r="J496" t="s">
        <v>31</v>
      </c>
      <c r="K496" t="s">
        <v>32</v>
      </c>
      <c r="L496" t="s">
        <v>65</v>
      </c>
      <c r="M496" t="str">
        <f>INDEX( dim_segment!$A$2:$A$5,MATCH(L496,  dim_segment!$B$2:$B$5, 0))</f>
        <v>SEG003</v>
      </c>
      <c r="N496" t="s">
        <v>54</v>
      </c>
      <c r="O496" s="2">
        <v>4</v>
      </c>
      <c r="P496" s="2">
        <v>60000</v>
      </c>
      <c r="Q496">
        <v>0.15</v>
      </c>
      <c r="R496" s="2">
        <v>204000</v>
      </c>
    </row>
    <row r="497" spans="1:18" x14ac:dyDescent="0.25">
      <c r="A497" t="s">
        <v>578</v>
      </c>
      <c r="B497" s="1">
        <v>45508</v>
      </c>
      <c r="C497" s="1" t="s">
        <v>102</v>
      </c>
      <c r="D497" t="s">
        <v>93</v>
      </c>
      <c r="E497" t="s">
        <v>533</v>
      </c>
      <c r="F497" t="s">
        <v>534</v>
      </c>
      <c r="G497" t="s">
        <v>278</v>
      </c>
      <c r="H497" t="s">
        <v>23</v>
      </c>
      <c r="I497" t="s">
        <v>30</v>
      </c>
      <c r="J497" t="s">
        <v>31</v>
      </c>
      <c r="K497" t="s">
        <v>32</v>
      </c>
      <c r="L497" t="s">
        <v>65</v>
      </c>
      <c r="M497" t="str">
        <f>INDEX( dim_segment!$A$2:$A$5,MATCH(L497,  dim_segment!$B$2:$B$5, 0))</f>
        <v>SEG003</v>
      </c>
      <c r="N497" t="s">
        <v>33</v>
      </c>
      <c r="O497" s="2">
        <v>5</v>
      </c>
      <c r="P497" s="2">
        <v>60000</v>
      </c>
      <c r="Q497">
        <v>0.09</v>
      </c>
      <c r="R497" s="2">
        <v>273000</v>
      </c>
    </row>
    <row r="498" spans="1:18" x14ac:dyDescent="0.25">
      <c r="A498" t="s">
        <v>579</v>
      </c>
      <c r="B498" s="1">
        <v>45520</v>
      </c>
      <c r="C498" s="1" t="s">
        <v>102</v>
      </c>
      <c r="D498" t="s">
        <v>93</v>
      </c>
      <c r="E498" t="s">
        <v>533</v>
      </c>
      <c r="F498" t="s">
        <v>534</v>
      </c>
      <c r="G498" t="s">
        <v>278</v>
      </c>
      <c r="H498" t="s">
        <v>23</v>
      </c>
      <c r="I498" t="s">
        <v>24</v>
      </c>
      <c r="J498" t="s">
        <v>25</v>
      </c>
      <c r="K498" t="s">
        <v>26</v>
      </c>
      <c r="L498" t="s">
        <v>65</v>
      </c>
      <c r="M498" t="str">
        <f>INDEX( dim_segment!$A$2:$A$5,MATCH(L498,  dim_segment!$B$2:$B$5, 0))</f>
        <v>SEG003</v>
      </c>
      <c r="N498" t="s">
        <v>54</v>
      </c>
      <c r="O498" s="2">
        <v>5</v>
      </c>
      <c r="P498" s="2">
        <v>75000</v>
      </c>
      <c r="Q498">
        <v>0.16</v>
      </c>
      <c r="R498" s="2">
        <v>315000</v>
      </c>
    </row>
    <row r="499" spans="1:18" x14ac:dyDescent="0.25">
      <c r="A499" t="s">
        <v>580</v>
      </c>
      <c r="B499" s="1">
        <v>45549</v>
      </c>
      <c r="C499" s="1" t="s">
        <v>106</v>
      </c>
      <c r="D499" t="s">
        <v>93</v>
      </c>
      <c r="E499" t="s">
        <v>533</v>
      </c>
      <c r="F499" t="s">
        <v>534</v>
      </c>
      <c r="G499" t="s">
        <v>278</v>
      </c>
      <c r="H499" t="s">
        <v>23</v>
      </c>
      <c r="I499" t="s">
        <v>60</v>
      </c>
      <c r="J499" t="s">
        <v>61</v>
      </c>
      <c r="K499" t="s">
        <v>26</v>
      </c>
      <c r="L499" t="s">
        <v>27</v>
      </c>
      <c r="M499" t="str">
        <f>INDEX( dim_segment!$A$2:$A$5,MATCH(L499,  dim_segment!$B$2:$B$5, 0))</f>
        <v>SEG002</v>
      </c>
      <c r="N499" t="s">
        <v>33</v>
      </c>
      <c r="O499" s="2">
        <v>2</v>
      </c>
      <c r="P499" s="2">
        <v>95000</v>
      </c>
      <c r="Q499">
        <v>0.19</v>
      </c>
      <c r="R499" s="2">
        <v>153900</v>
      </c>
    </row>
    <row r="500" spans="1:18" x14ac:dyDescent="0.25">
      <c r="A500" t="s">
        <v>581</v>
      </c>
      <c r="B500" s="1">
        <v>45551</v>
      </c>
      <c r="C500" s="1" t="s">
        <v>106</v>
      </c>
      <c r="D500" t="s">
        <v>93</v>
      </c>
      <c r="E500" t="s">
        <v>533</v>
      </c>
      <c r="F500" t="s">
        <v>534</v>
      </c>
      <c r="G500" t="s">
        <v>278</v>
      </c>
      <c r="H500" t="s">
        <v>23</v>
      </c>
      <c r="I500" t="s">
        <v>35</v>
      </c>
      <c r="J500" t="s">
        <v>36</v>
      </c>
      <c r="K500" t="s">
        <v>32</v>
      </c>
      <c r="L500" t="s">
        <v>23</v>
      </c>
      <c r="M500" t="str">
        <f>INDEX( dim_segment!$A$2:$A$5,MATCH(L500,  dim_segment!$B$2:$B$5, 0))</f>
        <v>SEG001</v>
      </c>
      <c r="N500" t="s">
        <v>37</v>
      </c>
      <c r="O500" s="2">
        <v>5</v>
      </c>
      <c r="P500" s="2">
        <v>45000</v>
      </c>
      <c r="Q500">
        <v>7.0000000000000007E-2</v>
      </c>
      <c r="R500" s="2">
        <v>209200</v>
      </c>
    </row>
    <row r="501" spans="1:18" x14ac:dyDescent="0.25">
      <c r="A501" t="s">
        <v>582</v>
      </c>
      <c r="B501" s="1">
        <v>45559</v>
      </c>
      <c r="C501" s="1" t="s">
        <v>106</v>
      </c>
      <c r="D501" t="s">
        <v>93</v>
      </c>
      <c r="E501" t="s">
        <v>533</v>
      </c>
      <c r="F501" t="s">
        <v>534</v>
      </c>
      <c r="G501" t="s">
        <v>278</v>
      </c>
      <c r="H501" t="s">
        <v>23</v>
      </c>
      <c r="I501" t="s">
        <v>35</v>
      </c>
      <c r="J501" t="s">
        <v>36</v>
      </c>
      <c r="K501" t="s">
        <v>32</v>
      </c>
      <c r="L501" t="s">
        <v>23</v>
      </c>
      <c r="M501" t="str">
        <f>INDEX( dim_segment!$A$2:$A$5,MATCH(L501,  dim_segment!$B$2:$B$5, 0))</f>
        <v>SEG001</v>
      </c>
      <c r="N501" t="s">
        <v>28</v>
      </c>
      <c r="O501" s="2">
        <v>4</v>
      </c>
      <c r="P501" s="2">
        <v>45000</v>
      </c>
      <c r="Q501">
        <v>0.09</v>
      </c>
      <c r="R501" s="2">
        <v>163800</v>
      </c>
    </row>
    <row r="502" spans="1:18" x14ac:dyDescent="0.25">
      <c r="A502" t="s">
        <v>583</v>
      </c>
      <c r="B502" s="1">
        <v>45539</v>
      </c>
      <c r="C502" s="1" t="s">
        <v>106</v>
      </c>
      <c r="D502" t="s">
        <v>93</v>
      </c>
      <c r="E502" t="s">
        <v>533</v>
      </c>
      <c r="F502" t="s">
        <v>534</v>
      </c>
      <c r="G502" t="s">
        <v>278</v>
      </c>
      <c r="H502" t="s">
        <v>23</v>
      </c>
      <c r="I502" t="s">
        <v>24</v>
      </c>
      <c r="J502" t="s">
        <v>25</v>
      </c>
      <c r="K502" t="s">
        <v>26</v>
      </c>
      <c r="L502" t="s">
        <v>27</v>
      </c>
      <c r="M502" t="str">
        <f>INDEX( dim_segment!$A$2:$A$5,MATCH(L502,  dim_segment!$B$2:$B$5, 0))</f>
        <v>SEG002</v>
      </c>
      <c r="N502" t="s">
        <v>37</v>
      </c>
      <c r="O502" s="2">
        <v>5</v>
      </c>
      <c r="P502" s="2">
        <v>75000</v>
      </c>
      <c r="Q502">
        <v>0.13</v>
      </c>
      <c r="R502" s="2">
        <v>326200</v>
      </c>
    </row>
    <row r="503" spans="1:18" x14ac:dyDescent="0.25">
      <c r="A503" t="s">
        <v>584</v>
      </c>
      <c r="B503" s="1">
        <v>45558</v>
      </c>
      <c r="C503" s="1" t="s">
        <v>106</v>
      </c>
      <c r="D503" t="s">
        <v>93</v>
      </c>
      <c r="E503" t="s">
        <v>533</v>
      </c>
      <c r="F503" t="s">
        <v>534</v>
      </c>
      <c r="G503" t="s">
        <v>278</v>
      </c>
      <c r="H503" t="s">
        <v>23</v>
      </c>
      <c r="I503" t="s">
        <v>24</v>
      </c>
      <c r="J503" t="s">
        <v>25</v>
      </c>
      <c r="K503" t="s">
        <v>26</v>
      </c>
      <c r="L503" t="s">
        <v>27</v>
      </c>
      <c r="M503" t="str">
        <f>INDEX( dim_segment!$A$2:$A$5,MATCH(L503,  dim_segment!$B$2:$B$5, 0))</f>
        <v>SEG002</v>
      </c>
      <c r="N503" t="s">
        <v>28</v>
      </c>
      <c r="O503" s="2">
        <v>2</v>
      </c>
      <c r="P503" s="2">
        <v>75000</v>
      </c>
      <c r="Q503">
        <v>0.19</v>
      </c>
      <c r="R503" s="2">
        <v>121500</v>
      </c>
    </row>
    <row r="504" spans="1:18" x14ac:dyDescent="0.25">
      <c r="A504" t="s">
        <v>585</v>
      </c>
      <c r="B504" s="1">
        <v>45589</v>
      </c>
      <c r="C504" s="1" t="s">
        <v>115</v>
      </c>
      <c r="D504" t="s">
        <v>116</v>
      </c>
      <c r="E504" t="s">
        <v>533</v>
      </c>
      <c r="F504" t="s">
        <v>534</v>
      </c>
      <c r="G504" t="s">
        <v>278</v>
      </c>
      <c r="H504" t="s">
        <v>23</v>
      </c>
      <c r="I504" t="s">
        <v>51</v>
      </c>
      <c r="J504" t="s">
        <v>52</v>
      </c>
      <c r="K504" t="s">
        <v>42</v>
      </c>
      <c r="L504" t="s">
        <v>65</v>
      </c>
      <c r="M504" t="str">
        <f>INDEX( dim_segment!$A$2:$A$5,MATCH(L504,  dim_segment!$B$2:$B$5, 0))</f>
        <v>SEG003</v>
      </c>
      <c r="N504" t="s">
        <v>37</v>
      </c>
      <c r="O504" s="2">
        <v>3</v>
      </c>
      <c r="P504" s="2">
        <v>150000</v>
      </c>
      <c r="Q504">
        <v>7.0000000000000007E-2</v>
      </c>
      <c r="R504" s="2">
        <v>418500</v>
      </c>
    </row>
    <row r="505" spans="1:18" x14ac:dyDescent="0.25">
      <c r="A505" t="s">
        <v>586</v>
      </c>
      <c r="B505" s="1">
        <v>45582</v>
      </c>
      <c r="C505" s="1" t="s">
        <v>115</v>
      </c>
      <c r="D505" t="s">
        <v>116</v>
      </c>
      <c r="E505" t="s">
        <v>533</v>
      </c>
      <c r="F505" t="s">
        <v>534</v>
      </c>
      <c r="G505" t="s">
        <v>278</v>
      </c>
      <c r="H505" t="s">
        <v>23</v>
      </c>
      <c r="I505" t="s">
        <v>30</v>
      </c>
      <c r="J505" t="s">
        <v>31</v>
      </c>
      <c r="K505" t="s">
        <v>32</v>
      </c>
      <c r="L505" t="s">
        <v>65</v>
      </c>
      <c r="M505" t="str">
        <f>INDEX( dim_segment!$A$2:$A$5,MATCH(L505,  dim_segment!$B$2:$B$5, 0))</f>
        <v>SEG003</v>
      </c>
      <c r="N505" t="s">
        <v>33</v>
      </c>
      <c r="O505" s="2">
        <v>5</v>
      </c>
      <c r="P505" s="2">
        <v>60000</v>
      </c>
      <c r="Q505">
        <v>0.12</v>
      </c>
      <c r="R505" s="2">
        <v>264000</v>
      </c>
    </row>
    <row r="506" spans="1:18" x14ac:dyDescent="0.25">
      <c r="A506" t="s">
        <v>587</v>
      </c>
      <c r="B506" s="1">
        <v>45580</v>
      </c>
      <c r="C506" s="1" t="s">
        <v>115</v>
      </c>
      <c r="D506" t="s">
        <v>116</v>
      </c>
      <c r="E506" t="s">
        <v>533</v>
      </c>
      <c r="F506" t="s">
        <v>534</v>
      </c>
      <c r="G506" t="s">
        <v>278</v>
      </c>
      <c r="H506" t="s">
        <v>23</v>
      </c>
      <c r="I506" t="s">
        <v>47</v>
      </c>
      <c r="J506" t="s">
        <v>48</v>
      </c>
      <c r="K506" t="s">
        <v>49</v>
      </c>
      <c r="L506" t="s">
        <v>65</v>
      </c>
      <c r="M506" t="str">
        <f>INDEX( dim_segment!$A$2:$A$5,MATCH(L506,  dim_segment!$B$2:$B$5, 0))</f>
        <v>SEG003</v>
      </c>
      <c r="N506" t="s">
        <v>54</v>
      </c>
      <c r="O506" s="2">
        <v>5</v>
      </c>
      <c r="P506" s="2">
        <v>200000</v>
      </c>
      <c r="Q506">
        <v>0.08</v>
      </c>
      <c r="R506" s="2">
        <v>920000</v>
      </c>
    </row>
    <row r="507" spans="1:18" x14ac:dyDescent="0.25">
      <c r="A507" t="s">
        <v>588</v>
      </c>
      <c r="B507" s="1">
        <v>45578</v>
      </c>
      <c r="C507" s="1" t="s">
        <v>115</v>
      </c>
      <c r="D507" t="s">
        <v>116</v>
      </c>
      <c r="E507" t="s">
        <v>533</v>
      </c>
      <c r="F507" t="s">
        <v>534</v>
      </c>
      <c r="G507" t="s">
        <v>278</v>
      </c>
      <c r="H507" t="s">
        <v>23</v>
      </c>
      <c r="I507" t="s">
        <v>51</v>
      </c>
      <c r="J507" t="s">
        <v>52</v>
      </c>
      <c r="K507" t="s">
        <v>42</v>
      </c>
      <c r="L507" t="s">
        <v>23</v>
      </c>
      <c r="M507" t="str">
        <f>INDEX( dim_segment!$A$2:$A$5,MATCH(L507,  dim_segment!$B$2:$B$5, 0))</f>
        <v>SEG001</v>
      </c>
      <c r="N507" t="s">
        <v>37</v>
      </c>
      <c r="O507" s="2">
        <v>2</v>
      </c>
      <c r="P507" s="2">
        <v>150000</v>
      </c>
      <c r="Q507">
        <v>0.06</v>
      </c>
      <c r="R507" s="2">
        <v>282000</v>
      </c>
    </row>
    <row r="508" spans="1:18" x14ac:dyDescent="0.25">
      <c r="A508" t="s">
        <v>589</v>
      </c>
      <c r="B508" s="1">
        <v>45577</v>
      </c>
      <c r="C508" s="1" t="s">
        <v>115</v>
      </c>
      <c r="D508" t="s">
        <v>116</v>
      </c>
      <c r="E508" t="s">
        <v>533</v>
      </c>
      <c r="F508" t="s">
        <v>534</v>
      </c>
      <c r="G508" t="s">
        <v>278</v>
      </c>
      <c r="H508" t="s">
        <v>23</v>
      </c>
      <c r="I508" t="s">
        <v>47</v>
      </c>
      <c r="J508" t="s">
        <v>48</v>
      </c>
      <c r="K508" t="s">
        <v>49</v>
      </c>
      <c r="L508" t="s">
        <v>65</v>
      </c>
      <c r="M508" t="str">
        <f>INDEX( dim_segment!$A$2:$A$5,MATCH(L508,  dim_segment!$B$2:$B$5, 0))</f>
        <v>SEG003</v>
      </c>
      <c r="N508" t="s">
        <v>37</v>
      </c>
      <c r="O508" s="2">
        <v>5</v>
      </c>
      <c r="P508" s="2">
        <v>200000</v>
      </c>
      <c r="Q508">
        <v>0.16</v>
      </c>
      <c r="R508" s="2">
        <v>840000</v>
      </c>
    </row>
    <row r="509" spans="1:18" x14ac:dyDescent="0.25">
      <c r="A509" t="s">
        <v>590</v>
      </c>
      <c r="B509" s="1">
        <v>45603</v>
      </c>
      <c r="C509" s="1" t="s">
        <v>125</v>
      </c>
      <c r="D509" t="s">
        <v>116</v>
      </c>
      <c r="E509" t="s">
        <v>533</v>
      </c>
      <c r="F509" t="s">
        <v>534</v>
      </c>
      <c r="G509" t="s">
        <v>278</v>
      </c>
      <c r="H509" t="s">
        <v>23</v>
      </c>
      <c r="I509" t="s">
        <v>60</v>
      </c>
      <c r="J509" t="s">
        <v>61</v>
      </c>
      <c r="K509" t="s">
        <v>26</v>
      </c>
      <c r="L509" t="s">
        <v>23</v>
      </c>
      <c r="M509" t="str">
        <f>INDEX( dim_segment!$A$2:$A$5,MATCH(L509,  dim_segment!$B$2:$B$5, 0))</f>
        <v>SEG001</v>
      </c>
      <c r="N509" t="s">
        <v>28</v>
      </c>
      <c r="O509" s="2">
        <v>1</v>
      </c>
      <c r="P509" s="2">
        <v>95000</v>
      </c>
      <c r="Q509">
        <v>0.1</v>
      </c>
      <c r="R509" s="2">
        <v>85500</v>
      </c>
    </row>
    <row r="510" spans="1:18" x14ac:dyDescent="0.25">
      <c r="A510" t="s">
        <v>591</v>
      </c>
      <c r="B510" s="1">
        <v>45608</v>
      </c>
      <c r="C510" s="1" t="s">
        <v>125</v>
      </c>
      <c r="D510" t="s">
        <v>116</v>
      </c>
      <c r="E510" t="s">
        <v>533</v>
      </c>
      <c r="F510" t="s">
        <v>534</v>
      </c>
      <c r="G510" t="s">
        <v>278</v>
      </c>
      <c r="H510" t="s">
        <v>23</v>
      </c>
      <c r="I510" t="s">
        <v>75</v>
      </c>
      <c r="J510" t="s">
        <v>76</v>
      </c>
      <c r="K510" t="s">
        <v>49</v>
      </c>
      <c r="L510" t="s">
        <v>43</v>
      </c>
      <c r="M510" t="str">
        <f>INDEX( dim_segment!$A$2:$A$5,MATCH(L510,  dim_segment!$B$2:$B$5, 0))</f>
        <v>SEG004</v>
      </c>
      <c r="N510" t="s">
        <v>28</v>
      </c>
      <c r="O510" s="2">
        <v>3</v>
      </c>
      <c r="P510" s="2">
        <v>120000</v>
      </c>
      <c r="Q510">
        <v>0.14000000000000001</v>
      </c>
      <c r="R510" s="2">
        <v>309600</v>
      </c>
    </row>
    <row r="511" spans="1:18" x14ac:dyDescent="0.25">
      <c r="A511" t="s">
        <v>592</v>
      </c>
      <c r="B511" s="1">
        <v>45619</v>
      </c>
      <c r="C511" s="1" t="s">
        <v>125</v>
      </c>
      <c r="D511" t="s">
        <v>116</v>
      </c>
      <c r="E511" t="s">
        <v>533</v>
      </c>
      <c r="F511" t="s">
        <v>534</v>
      </c>
      <c r="G511" t="s">
        <v>278</v>
      </c>
      <c r="H511" t="s">
        <v>23</v>
      </c>
      <c r="I511" t="s">
        <v>75</v>
      </c>
      <c r="J511" t="s">
        <v>76</v>
      </c>
      <c r="K511" t="s">
        <v>49</v>
      </c>
      <c r="L511" t="s">
        <v>65</v>
      </c>
      <c r="M511" t="str">
        <f>INDEX( dim_segment!$A$2:$A$5,MATCH(L511,  dim_segment!$B$2:$B$5, 0))</f>
        <v>SEG003</v>
      </c>
      <c r="N511" t="s">
        <v>37</v>
      </c>
      <c r="O511" s="2">
        <v>3</v>
      </c>
      <c r="P511" s="2">
        <v>120000</v>
      </c>
      <c r="Q511">
        <v>0.13</v>
      </c>
      <c r="R511" s="2">
        <v>313200</v>
      </c>
    </row>
    <row r="512" spans="1:18" x14ac:dyDescent="0.25">
      <c r="A512" t="s">
        <v>593</v>
      </c>
      <c r="B512" s="1">
        <v>45617</v>
      </c>
      <c r="C512" s="1" t="s">
        <v>125</v>
      </c>
      <c r="D512" t="s">
        <v>116</v>
      </c>
      <c r="E512" t="s">
        <v>533</v>
      </c>
      <c r="F512" t="s">
        <v>534</v>
      </c>
      <c r="G512" t="s">
        <v>278</v>
      </c>
      <c r="H512" t="s">
        <v>23</v>
      </c>
      <c r="I512" t="s">
        <v>47</v>
      </c>
      <c r="J512" t="s">
        <v>48</v>
      </c>
      <c r="K512" t="s">
        <v>49</v>
      </c>
      <c r="L512" t="s">
        <v>65</v>
      </c>
      <c r="M512" t="str">
        <f>INDEX( dim_segment!$A$2:$A$5,MATCH(L512,  dim_segment!$B$2:$B$5, 0))</f>
        <v>SEG003</v>
      </c>
      <c r="N512" t="s">
        <v>33</v>
      </c>
      <c r="O512" s="2">
        <v>4</v>
      </c>
      <c r="P512" s="2">
        <v>200000</v>
      </c>
      <c r="Q512">
        <v>0.16</v>
      </c>
      <c r="R512" s="2">
        <v>672000</v>
      </c>
    </row>
    <row r="513" spans="1:18" x14ac:dyDescent="0.25">
      <c r="A513" t="s">
        <v>594</v>
      </c>
      <c r="B513" s="1">
        <v>45605</v>
      </c>
      <c r="C513" s="1" t="s">
        <v>125</v>
      </c>
      <c r="D513" t="s">
        <v>116</v>
      </c>
      <c r="E513" t="s">
        <v>533</v>
      </c>
      <c r="F513" t="s">
        <v>534</v>
      </c>
      <c r="G513" t="s">
        <v>278</v>
      </c>
      <c r="H513" t="s">
        <v>23</v>
      </c>
      <c r="I513" t="s">
        <v>75</v>
      </c>
      <c r="J513" t="s">
        <v>76</v>
      </c>
      <c r="K513" t="s">
        <v>49</v>
      </c>
      <c r="L513" t="s">
        <v>43</v>
      </c>
      <c r="M513" t="str">
        <f>INDEX( dim_segment!$A$2:$A$5,MATCH(L513,  dim_segment!$B$2:$B$5, 0))</f>
        <v>SEG004</v>
      </c>
      <c r="N513" t="s">
        <v>28</v>
      </c>
      <c r="O513" s="2">
        <v>3</v>
      </c>
      <c r="P513" s="2">
        <v>120000</v>
      </c>
      <c r="Q513">
        <v>0.09</v>
      </c>
      <c r="R513" s="2">
        <v>327600</v>
      </c>
    </row>
    <row r="514" spans="1:18" x14ac:dyDescent="0.25">
      <c r="A514" t="s">
        <v>595</v>
      </c>
      <c r="B514" s="1">
        <v>45638</v>
      </c>
      <c r="C514" s="1" t="s">
        <v>134</v>
      </c>
      <c r="D514" t="s">
        <v>116</v>
      </c>
      <c r="E514" t="s">
        <v>533</v>
      </c>
      <c r="F514" t="s">
        <v>534</v>
      </c>
      <c r="G514" t="s">
        <v>278</v>
      </c>
      <c r="H514" t="s">
        <v>23</v>
      </c>
      <c r="I514" t="s">
        <v>24</v>
      </c>
      <c r="J514" t="s">
        <v>25</v>
      </c>
      <c r="K514" t="s">
        <v>26</v>
      </c>
      <c r="L514" t="s">
        <v>43</v>
      </c>
      <c r="M514" t="str">
        <f>INDEX( dim_segment!$A$2:$A$5,MATCH(L514,  dim_segment!$B$2:$B$5, 0))</f>
        <v>SEG004</v>
      </c>
      <c r="N514" t="s">
        <v>28</v>
      </c>
      <c r="O514" s="2">
        <v>1</v>
      </c>
      <c r="P514" s="2">
        <v>75000</v>
      </c>
      <c r="Q514">
        <v>0.12</v>
      </c>
      <c r="R514" s="2">
        <v>66000</v>
      </c>
    </row>
    <row r="515" spans="1:18" x14ac:dyDescent="0.25">
      <c r="A515" t="s">
        <v>596</v>
      </c>
      <c r="B515" s="1">
        <v>45642</v>
      </c>
      <c r="C515" s="1" t="s">
        <v>134</v>
      </c>
      <c r="D515" t="s">
        <v>116</v>
      </c>
      <c r="E515" t="s">
        <v>533</v>
      </c>
      <c r="F515" t="s">
        <v>534</v>
      </c>
      <c r="G515" t="s">
        <v>278</v>
      </c>
      <c r="H515" t="s">
        <v>23</v>
      </c>
      <c r="I515" t="s">
        <v>24</v>
      </c>
      <c r="J515" t="s">
        <v>25</v>
      </c>
      <c r="K515" t="s">
        <v>26</v>
      </c>
      <c r="L515" t="s">
        <v>23</v>
      </c>
      <c r="M515" t="str">
        <f>INDEX( dim_segment!$A$2:$A$5,MATCH(L515,  dim_segment!$B$2:$B$5, 0))</f>
        <v>SEG001</v>
      </c>
      <c r="N515" t="s">
        <v>28</v>
      </c>
      <c r="O515" s="2">
        <v>3</v>
      </c>
      <c r="P515" s="2">
        <v>75000</v>
      </c>
      <c r="Q515">
        <v>0.09</v>
      </c>
      <c r="R515" s="2">
        <v>204800</v>
      </c>
    </row>
    <row r="516" spans="1:18" x14ac:dyDescent="0.25">
      <c r="A516" t="s">
        <v>597</v>
      </c>
      <c r="B516" s="1">
        <v>45627</v>
      </c>
      <c r="C516" s="1" t="s">
        <v>134</v>
      </c>
      <c r="D516" t="s">
        <v>116</v>
      </c>
      <c r="E516" t="s">
        <v>533</v>
      </c>
      <c r="F516" t="s">
        <v>534</v>
      </c>
      <c r="G516" t="s">
        <v>278</v>
      </c>
      <c r="H516" t="s">
        <v>23</v>
      </c>
      <c r="I516" t="s">
        <v>35</v>
      </c>
      <c r="J516" t="s">
        <v>36</v>
      </c>
      <c r="K516" t="s">
        <v>32</v>
      </c>
      <c r="L516" t="s">
        <v>43</v>
      </c>
      <c r="M516" t="str">
        <f>INDEX( dim_segment!$A$2:$A$5,MATCH(L516,  dim_segment!$B$2:$B$5, 0))</f>
        <v>SEG004</v>
      </c>
      <c r="N516" t="s">
        <v>37</v>
      </c>
      <c r="O516" s="2">
        <v>4</v>
      </c>
      <c r="P516" s="2">
        <v>45000</v>
      </c>
      <c r="Q516">
        <v>0.2</v>
      </c>
      <c r="R516" s="2">
        <v>144000</v>
      </c>
    </row>
    <row r="517" spans="1:18" x14ac:dyDescent="0.25">
      <c r="A517" t="s">
        <v>598</v>
      </c>
      <c r="B517" s="1">
        <v>45646</v>
      </c>
      <c r="C517" s="1" t="s">
        <v>134</v>
      </c>
      <c r="D517" t="s">
        <v>116</v>
      </c>
      <c r="E517" t="s">
        <v>533</v>
      </c>
      <c r="F517" t="s">
        <v>534</v>
      </c>
      <c r="G517" t="s">
        <v>278</v>
      </c>
      <c r="H517" t="s">
        <v>23</v>
      </c>
      <c r="I517" t="s">
        <v>51</v>
      </c>
      <c r="J517" t="s">
        <v>52</v>
      </c>
      <c r="K517" t="s">
        <v>42</v>
      </c>
      <c r="L517" t="s">
        <v>27</v>
      </c>
      <c r="M517" t="str">
        <f>INDEX( dim_segment!$A$2:$A$5,MATCH(L517,  dim_segment!$B$2:$B$5, 0))</f>
        <v>SEG002</v>
      </c>
      <c r="N517" t="s">
        <v>37</v>
      </c>
      <c r="O517" s="2">
        <v>5</v>
      </c>
      <c r="P517" s="2">
        <v>150000</v>
      </c>
      <c r="Q517">
        <v>0.11</v>
      </c>
      <c r="R517" s="2">
        <v>667500</v>
      </c>
    </row>
    <row r="518" spans="1:18" x14ac:dyDescent="0.25">
      <c r="A518" t="s">
        <v>599</v>
      </c>
      <c r="B518" s="1">
        <v>45631</v>
      </c>
      <c r="C518" s="1" t="s">
        <v>134</v>
      </c>
      <c r="D518" t="s">
        <v>116</v>
      </c>
      <c r="E518" t="s">
        <v>533</v>
      </c>
      <c r="F518" t="s">
        <v>534</v>
      </c>
      <c r="G518" t="s">
        <v>278</v>
      </c>
      <c r="H518" t="s">
        <v>23</v>
      </c>
      <c r="I518" t="s">
        <v>40</v>
      </c>
      <c r="J518" t="s">
        <v>41</v>
      </c>
      <c r="K518" t="s">
        <v>42</v>
      </c>
      <c r="L518" t="s">
        <v>27</v>
      </c>
      <c r="M518" t="str">
        <f>INDEX( dim_segment!$A$2:$A$5,MATCH(L518,  dim_segment!$B$2:$B$5, 0))</f>
        <v>SEG002</v>
      </c>
      <c r="N518" t="s">
        <v>33</v>
      </c>
      <c r="O518" s="2">
        <v>3</v>
      </c>
      <c r="P518" s="2">
        <v>85000</v>
      </c>
      <c r="Q518">
        <v>0.19</v>
      </c>
      <c r="R518" s="2">
        <v>206600</v>
      </c>
    </row>
    <row r="519" spans="1:18" x14ac:dyDescent="0.25">
      <c r="A519" t="s">
        <v>600</v>
      </c>
      <c r="B519" s="1">
        <v>45627</v>
      </c>
      <c r="C519" s="1" t="s">
        <v>134</v>
      </c>
      <c r="D519" t="s">
        <v>116</v>
      </c>
      <c r="E519" t="s">
        <v>533</v>
      </c>
      <c r="F519" t="s">
        <v>534</v>
      </c>
      <c r="G519" t="s">
        <v>278</v>
      </c>
      <c r="H519" t="s">
        <v>23</v>
      </c>
      <c r="I519" t="s">
        <v>30</v>
      </c>
      <c r="J519" t="s">
        <v>31</v>
      </c>
      <c r="K519" t="s">
        <v>32</v>
      </c>
      <c r="L519" t="s">
        <v>43</v>
      </c>
      <c r="M519" t="str">
        <f>INDEX( dim_segment!$A$2:$A$5,MATCH(L519,  dim_segment!$B$2:$B$5, 0))</f>
        <v>SEG004</v>
      </c>
      <c r="N519" t="s">
        <v>54</v>
      </c>
      <c r="O519" s="2">
        <v>1</v>
      </c>
      <c r="P519" s="2">
        <v>60000</v>
      </c>
      <c r="Q519">
        <v>0.13</v>
      </c>
      <c r="R519" s="2">
        <v>52200</v>
      </c>
    </row>
    <row r="520" spans="1:18" x14ac:dyDescent="0.25">
      <c r="A520" t="s">
        <v>601</v>
      </c>
      <c r="B520" s="1">
        <v>45641</v>
      </c>
      <c r="C520" s="1" t="s">
        <v>134</v>
      </c>
      <c r="D520" t="s">
        <v>116</v>
      </c>
      <c r="E520" t="s">
        <v>533</v>
      </c>
      <c r="F520" t="s">
        <v>534</v>
      </c>
      <c r="G520" t="s">
        <v>278</v>
      </c>
      <c r="H520" t="s">
        <v>23</v>
      </c>
      <c r="I520" t="s">
        <v>40</v>
      </c>
      <c r="J520" t="s">
        <v>41</v>
      </c>
      <c r="K520" t="s">
        <v>42</v>
      </c>
      <c r="L520" t="s">
        <v>43</v>
      </c>
      <c r="M520" t="str">
        <f>INDEX( dim_segment!$A$2:$A$5,MATCH(L520,  dim_segment!$B$2:$B$5, 0))</f>
        <v>SEG004</v>
      </c>
      <c r="N520" t="s">
        <v>33</v>
      </c>
      <c r="O520" s="2">
        <v>1</v>
      </c>
      <c r="P520" s="2">
        <v>85000</v>
      </c>
      <c r="Q520">
        <v>0.17</v>
      </c>
      <c r="R520" s="2">
        <v>70600</v>
      </c>
    </row>
    <row r="521" spans="1:18" x14ac:dyDescent="0.25">
      <c r="A521" t="s">
        <v>602</v>
      </c>
      <c r="B521" s="1">
        <v>45298</v>
      </c>
      <c r="C521" s="1" t="s">
        <v>18</v>
      </c>
      <c r="D521" t="s">
        <v>19</v>
      </c>
      <c r="E521" t="s">
        <v>603</v>
      </c>
      <c r="F521" t="s">
        <v>604</v>
      </c>
      <c r="G521" t="s">
        <v>22</v>
      </c>
      <c r="H521" t="s">
        <v>23</v>
      </c>
      <c r="I521" t="s">
        <v>75</v>
      </c>
      <c r="J521" t="s">
        <v>76</v>
      </c>
      <c r="K521" t="s">
        <v>49</v>
      </c>
      <c r="L521" t="s">
        <v>43</v>
      </c>
      <c r="M521" t="str">
        <f>INDEX( dim_segment!$A$2:$A$5,MATCH(L521,  dim_segment!$B$2:$B$5, 0))</f>
        <v>SEG004</v>
      </c>
      <c r="N521" t="s">
        <v>33</v>
      </c>
      <c r="O521" s="2">
        <v>4</v>
      </c>
      <c r="P521" s="2">
        <v>120000</v>
      </c>
      <c r="Q521">
        <v>0.19</v>
      </c>
      <c r="R521" s="2">
        <v>388800</v>
      </c>
    </row>
    <row r="522" spans="1:18" x14ac:dyDescent="0.25">
      <c r="A522" t="s">
        <v>605</v>
      </c>
      <c r="B522" s="1">
        <v>45314</v>
      </c>
      <c r="C522" s="1" t="s">
        <v>18</v>
      </c>
      <c r="D522" t="s">
        <v>19</v>
      </c>
      <c r="E522" t="s">
        <v>603</v>
      </c>
      <c r="F522" t="s">
        <v>604</v>
      </c>
      <c r="G522" t="s">
        <v>22</v>
      </c>
      <c r="H522" t="s">
        <v>23</v>
      </c>
      <c r="I522" t="s">
        <v>40</v>
      </c>
      <c r="J522" t="s">
        <v>41</v>
      </c>
      <c r="K522" t="s">
        <v>42</v>
      </c>
      <c r="L522" t="s">
        <v>23</v>
      </c>
      <c r="M522" t="str">
        <f>INDEX( dim_segment!$A$2:$A$5,MATCH(L522,  dim_segment!$B$2:$B$5, 0))</f>
        <v>SEG001</v>
      </c>
      <c r="N522" t="s">
        <v>33</v>
      </c>
      <c r="O522" s="2">
        <v>4</v>
      </c>
      <c r="P522" s="2">
        <v>85000</v>
      </c>
      <c r="Q522">
        <v>0.16</v>
      </c>
      <c r="R522" s="2">
        <v>285600</v>
      </c>
    </row>
    <row r="523" spans="1:18" x14ac:dyDescent="0.25">
      <c r="A523" t="s">
        <v>606</v>
      </c>
      <c r="B523" s="1">
        <v>45311</v>
      </c>
      <c r="C523" s="1" t="s">
        <v>18</v>
      </c>
      <c r="D523" t="s">
        <v>19</v>
      </c>
      <c r="E523" t="s">
        <v>603</v>
      </c>
      <c r="F523" t="s">
        <v>604</v>
      </c>
      <c r="G523" t="s">
        <v>22</v>
      </c>
      <c r="H523" t="s">
        <v>23</v>
      </c>
      <c r="I523" t="s">
        <v>75</v>
      </c>
      <c r="J523" t="s">
        <v>76</v>
      </c>
      <c r="K523" t="s">
        <v>49</v>
      </c>
      <c r="L523" t="s">
        <v>43</v>
      </c>
      <c r="M523" t="str">
        <f>INDEX( dim_segment!$A$2:$A$5,MATCH(L523,  dim_segment!$B$2:$B$5, 0))</f>
        <v>SEG004</v>
      </c>
      <c r="N523" t="s">
        <v>28</v>
      </c>
      <c r="O523" s="2">
        <v>5</v>
      </c>
      <c r="P523" s="2">
        <v>120000</v>
      </c>
      <c r="Q523">
        <v>0.14000000000000001</v>
      </c>
      <c r="R523" s="2">
        <v>516000</v>
      </c>
    </row>
    <row r="524" spans="1:18" x14ac:dyDescent="0.25">
      <c r="A524" t="s">
        <v>607</v>
      </c>
      <c r="B524" s="1">
        <v>45304</v>
      </c>
      <c r="C524" s="1" t="s">
        <v>18</v>
      </c>
      <c r="D524" t="s">
        <v>19</v>
      </c>
      <c r="E524" t="s">
        <v>603</v>
      </c>
      <c r="F524" t="s">
        <v>604</v>
      </c>
      <c r="G524" t="s">
        <v>22</v>
      </c>
      <c r="H524" t="s">
        <v>23</v>
      </c>
      <c r="I524" t="s">
        <v>60</v>
      </c>
      <c r="J524" t="s">
        <v>61</v>
      </c>
      <c r="K524" t="s">
        <v>26</v>
      </c>
      <c r="L524" t="s">
        <v>65</v>
      </c>
      <c r="M524" t="str">
        <f>INDEX( dim_segment!$A$2:$A$5,MATCH(L524,  dim_segment!$B$2:$B$5, 0))</f>
        <v>SEG003</v>
      </c>
      <c r="N524" t="s">
        <v>54</v>
      </c>
      <c r="O524" s="2">
        <v>1</v>
      </c>
      <c r="P524" s="2">
        <v>95000</v>
      </c>
      <c r="Q524">
        <v>0.19</v>
      </c>
      <c r="R524" s="2">
        <v>77000</v>
      </c>
    </row>
    <row r="525" spans="1:18" x14ac:dyDescent="0.25">
      <c r="A525" t="s">
        <v>608</v>
      </c>
      <c r="B525" s="1">
        <v>45299</v>
      </c>
      <c r="C525" s="1" t="s">
        <v>18</v>
      </c>
      <c r="D525" t="s">
        <v>19</v>
      </c>
      <c r="E525" t="s">
        <v>603</v>
      </c>
      <c r="F525" t="s">
        <v>604</v>
      </c>
      <c r="G525" t="s">
        <v>22</v>
      </c>
      <c r="H525" t="s">
        <v>23</v>
      </c>
      <c r="I525" t="s">
        <v>35</v>
      </c>
      <c r="J525" t="s">
        <v>36</v>
      </c>
      <c r="K525" t="s">
        <v>32</v>
      </c>
      <c r="L525" t="s">
        <v>27</v>
      </c>
      <c r="M525" t="str">
        <f>INDEX( dim_segment!$A$2:$A$5,MATCH(L525,  dim_segment!$B$2:$B$5, 0))</f>
        <v>SEG002</v>
      </c>
      <c r="N525" t="s">
        <v>33</v>
      </c>
      <c r="O525" s="2">
        <v>1</v>
      </c>
      <c r="P525" s="2">
        <v>45000</v>
      </c>
      <c r="Q525">
        <v>0.09</v>
      </c>
      <c r="R525" s="2">
        <v>41000</v>
      </c>
    </row>
    <row r="526" spans="1:18" x14ac:dyDescent="0.25">
      <c r="A526" t="s">
        <v>609</v>
      </c>
      <c r="B526" s="1">
        <v>45323</v>
      </c>
      <c r="C526" s="1" t="s">
        <v>46</v>
      </c>
      <c r="D526" t="s">
        <v>19</v>
      </c>
      <c r="E526" t="s">
        <v>603</v>
      </c>
      <c r="F526" t="s">
        <v>604</v>
      </c>
      <c r="G526" t="s">
        <v>22</v>
      </c>
      <c r="H526" t="s">
        <v>23</v>
      </c>
      <c r="I526" t="s">
        <v>35</v>
      </c>
      <c r="J526" t="s">
        <v>36</v>
      </c>
      <c r="K526" t="s">
        <v>32</v>
      </c>
      <c r="L526" t="s">
        <v>43</v>
      </c>
      <c r="M526" t="str">
        <f>INDEX( dim_segment!$A$2:$A$5,MATCH(L526,  dim_segment!$B$2:$B$5, 0))</f>
        <v>SEG004</v>
      </c>
      <c r="N526" t="s">
        <v>37</v>
      </c>
      <c r="O526" s="2">
        <v>5</v>
      </c>
      <c r="P526" s="2">
        <v>45000</v>
      </c>
      <c r="Q526">
        <v>0.13</v>
      </c>
      <c r="R526" s="2">
        <v>195800</v>
      </c>
    </row>
    <row r="527" spans="1:18" x14ac:dyDescent="0.25">
      <c r="A527" t="s">
        <v>610</v>
      </c>
      <c r="B527" s="1">
        <v>45330</v>
      </c>
      <c r="C527" s="1" t="s">
        <v>46</v>
      </c>
      <c r="D527" t="s">
        <v>19</v>
      </c>
      <c r="E527" t="s">
        <v>603</v>
      </c>
      <c r="F527" t="s">
        <v>604</v>
      </c>
      <c r="G527" t="s">
        <v>22</v>
      </c>
      <c r="H527" t="s">
        <v>23</v>
      </c>
      <c r="I527" t="s">
        <v>40</v>
      </c>
      <c r="J527" t="s">
        <v>41</v>
      </c>
      <c r="K527" t="s">
        <v>42</v>
      </c>
      <c r="L527" t="s">
        <v>65</v>
      </c>
      <c r="M527" t="str">
        <f>INDEX( dim_segment!$A$2:$A$5,MATCH(L527,  dim_segment!$B$2:$B$5, 0))</f>
        <v>SEG003</v>
      </c>
      <c r="N527" t="s">
        <v>37</v>
      </c>
      <c r="O527" s="2">
        <v>5</v>
      </c>
      <c r="P527" s="2">
        <v>85000</v>
      </c>
      <c r="Q527">
        <v>0.17</v>
      </c>
      <c r="R527" s="2">
        <v>352800</v>
      </c>
    </row>
    <row r="528" spans="1:18" x14ac:dyDescent="0.25">
      <c r="A528" t="s">
        <v>611</v>
      </c>
      <c r="B528" s="1">
        <v>45349</v>
      </c>
      <c r="C528" s="1" t="s">
        <v>46</v>
      </c>
      <c r="D528" t="s">
        <v>19</v>
      </c>
      <c r="E528" t="s">
        <v>603</v>
      </c>
      <c r="F528" t="s">
        <v>604</v>
      </c>
      <c r="G528" t="s">
        <v>22</v>
      </c>
      <c r="H528" t="s">
        <v>23</v>
      </c>
      <c r="I528" t="s">
        <v>30</v>
      </c>
      <c r="J528" t="s">
        <v>31</v>
      </c>
      <c r="K528" t="s">
        <v>32</v>
      </c>
      <c r="L528" t="s">
        <v>27</v>
      </c>
      <c r="M528" t="str">
        <f>INDEX( dim_segment!$A$2:$A$5,MATCH(L528,  dim_segment!$B$2:$B$5, 0))</f>
        <v>SEG002</v>
      </c>
      <c r="N528" t="s">
        <v>54</v>
      </c>
      <c r="O528" s="2">
        <v>3</v>
      </c>
      <c r="P528" s="2">
        <v>60000</v>
      </c>
      <c r="Q528">
        <v>0.08</v>
      </c>
      <c r="R528" s="2">
        <v>165600</v>
      </c>
    </row>
    <row r="529" spans="1:18" x14ac:dyDescent="0.25">
      <c r="A529" t="s">
        <v>612</v>
      </c>
      <c r="B529" s="1">
        <v>45362</v>
      </c>
      <c r="C529" s="1" t="s">
        <v>56</v>
      </c>
      <c r="D529" t="s">
        <v>19</v>
      </c>
      <c r="E529" t="s">
        <v>603</v>
      </c>
      <c r="F529" t="s">
        <v>604</v>
      </c>
      <c r="G529" t="s">
        <v>22</v>
      </c>
      <c r="H529" t="s">
        <v>23</v>
      </c>
      <c r="I529" t="s">
        <v>30</v>
      </c>
      <c r="J529" t="s">
        <v>31</v>
      </c>
      <c r="K529" t="s">
        <v>32</v>
      </c>
      <c r="L529" t="s">
        <v>43</v>
      </c>
      <c r="M529" t="str">
        <f>INDEX( dim_segment!$A$2:$A$5,MATCH(L529,  dim_segment!$B$2:$B$5, 0))</f>
        <v>SEG004</v>
      </c>
      <c r="N529" t="s">
        <v>37</v>
      </c>
      <c r="O529" s="2">
        <v>5</v>
      </c>
      <c r="P529" s="2">
        <v>60000</v>
      </c>
      <c r="Q529">
        <v>0.13</v>
      </c>
      <c r="R529" s="2">
        <v>261000</v>
      </c>
    </row>
    <row r="530" spans="1:18" x14ac:dyDescent="0.25">
      <c r="A530" t="s">
        <v>613</v>
      </c>
      <c r="B530" s="1">
        <v>45354</v>
      </c>
      <c r="C530" s="1" t="s">
        <v>56</v>
      </c>
      <c r="D530" t="s">
        <v>19</v>
      </c>
      <c r="E530" t="s">
        <v>603</v>
      </c>
      <c r="F530" t="s">
        <v>604</v>
      </c>
      <c r="G530" t="s">
        <v>22</v>
      </c>
      <c r="H530" t="s">
        <v>23</v>
      </c>
      <c r="I530" t="s">
        <v>75</v>
      </c>
      <c r="J530" t="s">
        <v>76</v>
      </c>
      <c r="K530" t="s">
        <v>49</v>
      </c>
      <c r="L530" t="s">
        <v>27</v>
      </c>
      <c r="M530" t="str">
        <f>INDEX( dim_segment!$A$2:$A$5,MATCH(L530,  dim_segment!$B$2:$B$5, 0))</f>
        <v>SEG002</v>
      </c>
      <c r="N530" t="s">
        <v>33</v>
      </c>
      <c r="O530" s="2">
        <v>1</v>
      </c>
      <c r="P530" s="2">
        <v>120000</v>
      </c>
      <c r="Q530">
        <v>0.13</v>
      </c>
      <c r="R530" s="2">
        <v>104400</v>
      </c>
    </row>
    <row r="531" spans="1:18" x14ac:dyDescent="0.25">
      <c r="A531" t="s">
        <v>614</v>
      </c>
      <c r="B531" s="1">
        <v>45354</v>
      </c>
      <c r="C531" s="1" t="s">
        <v>56</v>
      </c>
      <c r="D531" t="s">
        <v>19</v>
      </c>
      <c r="E531" t="s">
        <v>603</v>
      </c>
      <c r="F531" t="s">
        <v>604</v>
      </c>
      <c r="G531" t="s">
        <v>22</v>
      </c>
      <c r="H531" t="s">
        <v>23</v>
      </c>
      <c r="I531" t="s">
        <v>24</v>
      </c>
      <c r="J531" t="s">
        <v>25</v>
      </c>
      <c r="K531" t="s">
        <v>26</v>
      </c>
      <c r="L531" t="s">
        <v>23</v>
      </c>
      <c r="M531" t="str">
        <f>INDEX( dim_segment!$A$2:$A$5,MATCH(L531,  dim_segment!$B$2:$B$5, 0))</f>
        <v>SEG001</v>
      </c>
      <c r="N531" t="s">
        <v>28</v>
      </c>
      <c r="O531" s="2">
        <v>5</v>
      </c>
      <c r="P531" s="2">
        <v>75000</v>
      </c>
      <c r="Q531">
        <v>0.2</v>
      </c>
      <c r="R531" s="2">
        <v>300000</v>
      </c>
    </row>
    <row r="532" spans="1:18" x14ac:dyDescent="0.25">
      <c r="A532" t="s">
        <v>615</v>
      </c>
      <c r="B532" s="1">
        <v>45373</v>
      </c>
      <c r="C532" s="1" t="s">
        <v>56</v>
      </c>
      <c r="D532" t="s">
        <v>19</v>
      </c>
      <c r="E532" t="s">
        <v>603</v>
      </c>
      <c r="F532" t="s">
        <v>604</v>
      </c>
      <c r="G532" t="s">
        <v>22</v>
      </c>
      <c r="H532" t="s">
        <v>23</v>
      </c>
      <c r="I532" t="s">
        <v>35</v>
      </c>
      <c r="J532" t="s">
        <v>36</v>
      </c>
      <c r="K532" t="s">
        <v>32</v>
      </c>
      <c r="L532" t="s">
        <v>27</v>
      </c>
      <c r="M532" t="str">
        <f>INDEX( dim_segment!$A$2:$A$5,MATCH(L532,  dim_segment!$B$2:$B$5, 0))</f>
        <v>SEG002</v>
      </c>
      <c r="N532" t="s">
        <v>28</v>
      </c>
      <c r="O532" s="2">
        <v>5</v>
      </c>
      <c r="P532" s="2">
        <v>45000</v>
      </c>
      <c r="Q532">
        <v>0.16</v>
      </c>
      <c r="R532" s="2">
        <v>189000</v>
      </c>
    </row>
    <row r="533" spans="1:18" x14ac:dyDescent="0.25">
      <c r="A533" t="s">
        <v>616</v>
      </c>
      <c r="B533" s="1">
        <v>45352</v>
      </c>
      <c r="C533" s="1" t="s">
        <v>56</v>
      </c>
      <c r="D533" t="s">
        <v>19</v>
      </c>
      <c r="E533" t="s">
        <v>603</v>
      </c>
      <c r="F533" t="s">
        <v>604</v>
      </c>
      <c r="G533" t="s">
        <v>22</v>
      </c>
      <c r="H533" t="s">
        <v>23</v>
      </c>
      <c r="I533" t="s">
        <v>60</v>
      </c>
      <c r="J533" t="s">
        <v>61</v>
      </c>
      <c r="K533" t="s">
        <v>26</v>
      </c>
      <c r="L533" t="s">
        <v>65</v>
      </c>
      <c r="M533" t="str">
        <f>INDEX( dim_segment!$A$2:$A$5,MATCH(L533,  dim_segment!$B$2:$B$5, 0))</f>
        <v>SEG003</v>
      </c>
      <c r="N533" t="s">
        <v>37</v>
      </c>
      <c r="O533" s="2">
        <v>3</v>
      </c>
      <c r="P533" s="2">
        <v>95000</v>
      </c>
      <c r="Q533">
        <v>0.19</v>
      </c>
      <c r="R533" s="2">
        <v>230900</v>
      </c>
    </row>
    <row r="534" spans="1:18" x14ac:dyDescent="0.25">
      <c r="A534" t="s">
        <v>617</v>
      </c>
      <c r="B534" s="1">
        <v>45396</v>
      </c>
      <c r="C534" s="1" t="s">
        <v>67</v>
      </c>
      <c r="D534" t="s">
        <v>68</v>
      </c>
      <c r="E534" t="s">
        <v>603</v>
      </c>
      <c r="F534" t="s">
        <v>604</v>
      </c>
      <c r="G534" t="s">
        <v>22</v>
      </c>
      <c r="H534" t="s">
        <v>23</v>
      </c>
      <c r="I534" t="s">
        <v>47</v>
      </c>
      <c r="J534" t="s">
        <v>48</v>
      </c>
      <c r="K534" t="s">
        <v>49</v>
      </c>
      <c r="L534" t="s">
        <v>43</v>
      </c>
      <c r="M534" t="str">
        <f>INDEX( dim_segment!$A$2:$A$5,MATCH(L534,  dim_segment!$B$2:$B$5, 0))</f>
        <v>SEG004</v>
      </c>
      <c r="N534" t="s">
        <v>28</v>
      </c>
      <c r="O534" s="2">
        <v>3</v>
      </c>
      <c r="P534" s="2">
        <v>200000</v>
      </c>
      <c r="Q534">
        <v>0.08</v>
      </c>
      <c r="R534" s="2">
        <v>552000</v>
      </c>
    </row>
    <row r="535" spans="1:18" x14ac:dyDescent="0.25">
      <c r="A535" t="s">
        <v>618</v>
      </c>
      <c r="B535" s="1">
        <v>45389</v>
      </c>
      <c r="C535" s="1" t="s">
        <v>67</v>
      </c>
      <c r="D535" t="s">
        <v>68</v>
      </c>
      <c r="E535" t="s">
        <v>603</v>
      </c>
      <c r="F535" t="s">
        <v>604</v>
      </c>
      <c r="G535" t="s">
        <v>22</v>
      </c>
      <c r="H535" t="s">
        <v>23</v>
      </c>
      <c r="I535" t="s">
        <v>47</v>
      </c>
      <c r="J535" t="s">
        <v>48</v>
      </c>
      <c r="K535" t="s">
        <v>49</v>
      </c>
      <c r="L535" t="s">
        <v>23</v>
      </c>
      <c r="M535" t="str">
        <f>INDEX( dim_segment!$A$2:$A$5,MATCH(L535,  dim_segment!$B$2:$B$5, 0))</f>
        <v>SEG001</v>
      </c>
      <c r="N535" t="s">
        <v>37</v>
      </c>
      <c r="O535" s="2">
        <v>2</v>
      </c>
      <c r="P535" s="2">
        <v>200000</v>
      </c>
      <c r="Q535">
        <v>0.18</v>
      </c>
      <c r="R535" s="2">
        <v>328000</v>
      </c>
    </row>
    <row r="536" spans="1:18" x14ac:dyDescent="0.25">
      <c r="A536" t="s">
        <v>619</v>
      </c>
      <c r="B536" s="1">
        <v>45393</v>
      </c>
      <c r="C536" s="1" t="s">
        <v>67</v>
      </c>
      <c r="D536" t="s">
        <v>68</v>
      </c>
      <c r="E536" t="s">
        <v>603</v>
      </c>
      <c r="F536" t="s">
        <v>604</v>
      </c>
      <c r="G536" t="s">
        <v>22</v>
      </c>
      <c r="H536" t="s">
        <v>23</v>
      </c>
      <c r="I536" t="s">
        <v>47</v>
      </c>
      <c r="J536" t="s">
        <v>48</v>
      </c>
      <c r="K536" t="s">
        <v>49</v>
      </c>
      <c r="L536" t="s">
        <v>27</v>
      </c>
      <c r="M536" t="str">
        <f>INDEX( dim_segment!$A$2:$A$5,MATCH(L536,  dim_segment!$B$2:$B$5, 0))</f>
        <v>SEG002</v>
      </c>
      <c r="N536" t="s">
        <v>33</v>
      </c>
      <c r="O536" s="2">
        <v>1</v>
      </c>
      <c r="P536" s="2">
        <v>200000</v>
      </c>
      <c r="Q536">
        <v>0.13</v>
      </c>
      <c r="R536" s="2">
        <v>174000</v>
      </c>
    </row>
    <row r="537" spans="1:18" x14ac:dyDescent="0.25">
      <c r="A537" t="s">
        <v>620</v>
      </c>
      <c r="B537" s="1">
        <v>45392</v>
      </c>
      <c r="C537" s="1" t="s">
        <v>67</v>
      </c>
      <c r="D537" t="s">
        <v>68</v>
      </c>
      <c r="E537" t="s">
        <v>603</v>
      </c>
      <c r="F537" t="s">
        <v>604</v>
      </c>
      <c r="G537" t="s">
        <v>22</v>
      </c>
      <c r="H537" t="s">
        <v>23</v>
      </c>
      <c r="I537" t="s">
        <v>60</v>
      </c>
      <c r="J537" t="s">
        <v>61</v>
      </c>
      <c r="K537" t="s">
        <v>26</v>
      </c>
      <c r="L537" t="s">
        <v>27</v>
      </c>
      <c r="M537" t="str">
        <f>INDEX( dim_segment!$A$2:$A$5,MATCH(L537,  dim_segment!$B$2:$B$5, 0))</f>
        <v>SEG002</v>
      </c>
      <c r="N537" t="s">
        <v>37</v>
      </c>
      <c r="O537" s="2">
        <v>3</v>
      </c>
      <c r="P537" s="2">
        <v>95000</v>
      </c>
      <c r="Q537">
        <v>0.1</v>
      </c>
      <c r="R537" s="2">
        <v>256500</v>
      </c>
    </row>
    <row r="538" spans="1:18" x14ac:dyDescent="0.25">
      <c r="A538" t="s">
        <v>621</v>
      </c>
      <c r="B538" s="1">
        <v>45427</v>
      </c>
      <c r="C538" s="1" t="s">
        <v>78</v>
      </c>
      <c r="D538" t="s">
        <v>68</v>
      </c>
      <c r="E538" t="s">
        <v>603</v>
      </c>
      <c r="F538" t="s">
        <v>604</v>
      </c>
      <c r="G538" t="s">
        <v>22</v>
      </c>
      <c r="H538" t="s">
        <v>23</v>
      </c>
      <c r="I538" t="s">
        <v>40</v>
      </c>
      <c r="J538" t="s">
        <v>41</v>
      </c>
      <c r="K538" t="s">
        <v>42</v>
      </c>
      <c r="L538" t="s">
        <v>43</v>
      </c>
      <c r="M538" t="str">
        <f>INDEX( dim_segment!$A$2:$A$5,MATCH(L538,  dim_segment!$B$2:$B$5, 0))</f>
        <v>SEG004</v>
      </c>
      <c r="N538" t="s">
        <v>33</v>
      </c>
      <c r="O538" s="2">
        <v>5</v>
      </c>
      <c r="P538" s="2">
        <v>85000</v>
      </c>
      <c r="Q538">
        <v>7.0000000000000007E-2</v>
      </c>
      <c r="R538" s="2">
        <v>395200</v>
      </c>
    </row>
    <row r="539" spans="1:18" x14ac:dyDescent="0.25">
      <c r="A539" t="s">
        <v>622</v>
      </c>
      <c r="B539" s="1">
        <v>45434</v>
      </c>
      <c r="C539" s="1" t="s">
        <v>78</v>
      </c>
      <c r="D539" t="s">
        <v>68</v>
      </c>
      <c r="E539" t="s">
        <v>603</v>
      </c>
      <c r="F539" t="s">
        <v>604</v>
      </c>
      <c r="G539" t="s">
        <v>22</v>
      </c>
      <c r="H539" t="s">
        <v>23</v>
      </c>
      <c r="I539" t="s">
        <v>60</v>
      </c>
      <c r="J539" t="s">
        <v>61</v>
      </c>
      <c r="K539" t="s">
        <v>26</v>
      </c>
      <c r="L539" t="s">
        <v>27</v>
      </c>
      <c r="M539" t="str">
        <f>INDEX( dim_segment!$A$2:$A$5,MATCH(L539,  dim_segment!$B$2:$B$5, 0))</f>
        <v>SEG002</v>
      </c>
      <c r="N539" t="s">
        <v>37</v>
      </c>
      <c r="O539" s="2">
        <v>2</v>
      </c>
      <c r="P539" s="2">
        <v>95000</v>
      </c>
      <c r="Q539">
        <v>0.15</v>
      </c>
      <c r="R539" s="2">
        <v>161500</v>
      </c>
    </row>
    <row r="540" spans="1:18" x14ac:dyDescent="0.25">
      <c r="A540" t="s">
        <v>623</v>
      </c>
      <c r="B540" s="1">
        <v>45413</v>
      </c>
      <c r="C540" s="1" t="s">
        <v>78</v>
      </c>
      <c r="D540" t="s">
        <v>68</v>
      </c>
      <c r="E540" t="s">
        <v>603</v>
      </c>
      <c r="F540" t="s">
        <v>604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M540" t="str">
        <f>INDEX( dim_segment!$A$2:$A$5,MATCH(L540,  dim_segment!$B$2:$B$5, 0))</f>
        <v>SEG002</v>
      </c>
      <c r="N540" t="s">
        <v>33</v>
      </c>
      <c r="O540" s="2">
        <v>2</v>
      </c>
      <c r="P540" s="2">
        <v>75000</v>
      </c>
      <c r="Q540">
        <v>0.06</v>
      </c>
      <c r="R540" s="2">
        <v>141000</v>
      </c>
    </row>
    <row r="541" spans="1:18" x14ac:dyDescent="0.25">
      <c r="A541" t="s">
        <v>624</v>
      </c>
      <c r="B541" s="1">
        <v>45415</v>
      </c>
      <c r="C541" s="1" t="s">
        <v>78</v>
      </c>
      <c r="D541" t="s">
        <v>68</v>
      </c>
      <c r="E541" t="s">
        <v>603</v>
      </c>
      <c r="F541" t="s">
        <v>604</v>
      </c>
      <c r="G541" t="s">
        <v>22</v>
      </c>
      <c r="H541" t="s">
        <v>23</v>
      </c>
      <c r="I541" t="s">
        <v>75</v>
      </c>
      <c r="J541" t="s">
        <v>76</v>
      </c>
      <c r="K541" t="s">
        <v>49</v>
      </c>
      <c r="L541" t="s">
        <v>43</v>
      </c>
      <c r="M541" t="str">
        <f>INDEX( dim_segment!$A$2:$A$5,MATCH(L541,  dim_segment!$B$2:$B$5, 0))</f>
        <v>SEG004</v>
      </c>
      <c r="N541" t="s">
        <v>33</v>
      </c>
      <c r="O541" s="2">
        <v>3</v>
      </c>
      <c r="P541" s="2">
        <v>120000</v>
      </c>
      <c r="Q541">
        <v>0.08</v>
      </c>
      <c r="R541" s="2">
        <v>331200</v>
      </c>
    </row>
    <row r="542" spans="1:18" x14ac:dyDescent="0.25">
      <c r="A542" t="s">
        <v>625</v>
      </c>
      <c r="B542" s="1">
        <v>45413</v>
      </c>
      <c r="C542" s="1" t="s">
        <v>78</v>
      </c>
      <c r="D542" t="s">
        <v>68</v>
      </c>
      <c r="E542" t="s">
        <v>603</v>
      </c>
      <c r="F542" t="s">
        <v>604</v>
      </c>
      <c r="G542" t="s">
        <v>22</v>
      </c>
      <c r="H542" t="s">
        <v>23</v>
      </c>
      <c r="I542" t="s">
        <v>60</v>
      </c>
      <c r="J542" t="s">
        <v>61</v>
      </c>
      <c r="K542" t="s">
        <v>26</v>
      </c>
      <c r="L542" t="s">
        <v>27</v>
      </c>
      <c r="M542" t="str">
        <f>INDEX( dim_segment!$A$2:$A$5,MATCH(L542,  dim_segment!$B$2:$B$5, 0))</f>
        <v>SEG002</v>
      </c>
      <c r="N542" t="s">
        <v>33</v>
      </c>
      <c r="O542" s="2">
        <v>2</v>
      </c>
      <c r="P542" s="2">
        <v>95000</v>
      </c>
      <c r="Q542">
        <v>0.2</v>
      </c>
      <c r="R542" s="2">
        <v>152000</v>
      </c>
    </row>
    <row r="543" spans="1:18" x14ac:dyDescent="0.25">
      <c r="A543" t="s">
        <v>626</v>
      </c>
      <c r="B543" s="1">
        <v>45435</v>
      </c>
      <c r="C543" s="1" t="s">
        <v>78</v>
      </c>
      <c r="D543" t="s">
        <v>68</v>
      </c>
      <c r="E543" t="s">
        <v>603</v>
      </c>
      <c r="F543" t="s">
        <v>604</v>
      </c>
      <c r="G543" t="s">
        <v>22</v>
      </c>
      <c r="H543" t="s">
        <v>23</v>
      </c>
      <c r="I543" t="s">
        <v>60</v>
      </c>
      <c r="J543" t="s">
        <v>61</v>
      </c>
      <c r="K543" t="s">
        <v>26</v>
      </c>
      <c r="L543" t="s">
        <v>27</v>
      </c>
      <c r="M543" t="str">
        <f>INDEX( dim_segment!$A$2:$A$5,MATCH(L543,  dim_segment!$B$2:$B$5, 0))</f>
        <v>SEG002</v>
      </c>
      <c r="N543" t="s">
        <v>37</v>
      </c>
      <c r="O543" s="2">
        <v>2</v>
      </c>
      <c r="P543" s="2">
        <v>95000</v>
      </c>
      <c r="Q543">
        <v>7.0000000000000007E-2</v>
      </c>
      <c r="R543" s="2">
        <v>176700</v>
      </c>
    </row>
    <row r="544" spans="1:18" x14ac:dyDescent="0.25">
      <c r="A544" t="s">
        <v>627</v>
      </c>
      <c r="B544" s="1">
        <v>45413</v>
      </c>
      <c r="C544" s="1" t="s">
        <v>78</v>
      </c>
      <c r="D544" t="s">
        <v>68</v>
      </c>
      <c r="E544" t="s">
        <v>603</v>
      </c>
      <c r="F544" t="s">
        <v>604</v>
      </c>
      <c r="G544" t="s">
        <v>22</v>
      </c>
      <c r="H544" t="s">
        <v>23</v>
      </c>
      <c r="I544" t="s">
        <v>75</v>
      </c>
      <c r="J544" t="s">
        <v>76</v>
      </c>
      <c r="K544" t="s">
        <v>49</v>
      </c>
      <c r="L544" t="s">
        <v>27</v>
      </c>
      <c r="M544" t="str">
        <f>INDEX( dim_segment!$A$2:$A$5,MATCH(L544,  dim_segment!$B$2:$B$5, 0))</f>
        <v>SEG002</v>
      </c>
      <c r="N544" t="s">
        <v>33</v>
      </c>
      <c r="O544" s="2">
        <v>3</v>
      </c>
      <c r="P544" s="2">
        <v>120000</v>
      </c>
      <c r="Q544">
        <v>0.15</v>
      </c>
      <c r="R544" s="2">
        <v>306000</v>
      </c>
    </row>
    <row r="545" spans="1:18" x14ac:dyDescent="0.25">
      <c r="A545" t="s">
        <v>628</v>
      </c>
      <c r="B545" s="1">
        <v>45438</v>
      </c>
      <c r="C545" s="1" t="s">
        <v>78</v>
      </c>
      <c r="D545" t="s">
        <v>68</v>
      </c>
      <c r="E545" t="s">
        <v>603</v>
      </c>
      <c r="F545" t="s">
        <v>604</v>
      </c>
      <c r="G545" t="s">
        <v>22</v>
      </c>
      <c r="H545" t="s">
        <v>23</v>
      </c>
      <c r="I545" t="s">
        <v>75</v>
      </c>
      <c r="J545" t="s">
        <v>76</v>
      </c>
      <c r="K545" t="s">
        <v>49</v>
      </c>
      <c r="L545" t="s">
        <v>65</v>
      </c>
      <c r="M545" t="str">
        <f>INDEX( dim_segment!$A$2:$A$5,MATCH(L545,  dim_segment!$B$2:$B$5, 0))</f>
        <v>SEG003</v>
      </c>
      <c r="N545" t="s">
        <v>28</v>
      </c>
      <c r="O545" s="2">
        <v>5</v>
      </c>
      <c r="P545" s="2">
        <v>120000</v>
      </c>
      <c r="Q545">
        <v>0.17</v>
      </c>
      <c r="R545" s="2">
        <v>498000</v>
      </c>
    </row>
    <row r="546" spans="1:18" x14ac:dyDescent="0.25">
      <c r="A546" t="s">
        <v>629</v>
      </c>
      <c r="B546" s="1">
        <v>45447</v>
      </c>
      <c r="C546" s="1" t="s">
        <v>84</v>
      </c>
      <c r="D546" t="s">
        <v>68</v>
      </c>
      <c r="E546" t="s">
        <v>603</v>
      </c>
      <c r="F546" t="s">
        <v>604</v>
      </c>
      <c r="G546" t="s">
        <v>22</v>
      </c>
      <c r="H546" t="s">
        <v>23</v>
      </c>
      <c r="I546" t="s">
        <v>24</v>
      </c>
      <c r="J546" t="s">
        <v>25</v>
      </c>
      <c r="K546" t="s">
        <v>26</v>
      </c>
      <c r="L546" t="s">
        <v>43</v>
      </c>
      <c r="M546" t="str">
        <f>INDEX( dim_segment!$A$2:$A$5,MATCH(L546,  dim_segment!$B$2:$B$5, 0))</f>
        <v>SEG004</v>
      </c>
      <c r="N546" t="s">
        <v>37</v>
      </c>
      <c r="O546" s="2">
        <v>1</v>
      </c>
      <c r="P546" s="2">
        <v>75000</v>
      </c>
      <c r="Q546">
        <v>0.05</v>
      </c>
      <c r="R546" s="2">
        <v>71200</v>
      </c>
    </row>
    <row r="547" spans="1:18" x14ac:dyDescent="0.25">
      <c r="A547" t="s">
        <v>630</v>
      </c>
      <c r="B547" s="1">
        <v>45451</v>
      </c>
      <c r="C547" s="1" t="s">
        <v>84</v>
      </c>
      <c r="D547" t="s">
        <v>68</v>
      </c>
      <c r="E547" t="s">
        <v>603</v>
      </c>
      <c r="F547" t="s">
        <v>604</v>
      </c>
      <c r="G547" t="s">
        <v>22</v>
      </c>
      <c r="H547" t="s">
        <v>23</v>
      </c>
      <c r="I547" t="s">
        <v>51</v>
      </c>
      <c r="J547" t="s">
        <v>52</v>
      </c>
      <c r="K547" t="s">
        <v>42</v>
      </c>
      <c r="L547" t="s">
        <v>65</v>
      </c>
      <c r="M547" t="str">
        <f>INDEX( dim_segment!$A$2:$A$5,MATCH(L547,  dim_segment!$B$2:$B$5, 0))</f>
        <v>SEG003</v>
      </c>
      <c r="N547" t="s">
        <v>28</v>
      </c>
      <c r="O547" s="2">
        <v>3</v>
      </c>
      <c r="P547" s="2">
        <v>150000</v>
      </c>
      <c r="Q547">
        <v>0.14000000000000001</v>
      </c>
      <c r="R547" s="2">
        <v>387000</v>
      </c>
    </row>
    <row r="548" spans="1:18" x14ac:dyDescent="0.25">
      <c r="A548" t="s">
        <v>631</v>
      </c>
      <c r="B548" s="1">
        <v>45463</v>
      </c>
      <c r="C548" s="1" t="s">
        <v>84</v>
      </c>
      <c r="D548" t="s">
        <v>68</v>
      </c>
      <c r="E548" t="s">
        <v>603</v>
      </c>
      <c r="F548" t="s">
        <v>604</v>
      </c>
      <c r="G548" t="s">
        <v>22</v>
      </c>
      <c r="H548" t="s">
        <v>23</v>
      </c>
      <c r="I548" t="s">
        <v>35</v>
      </c>
      <c r="J548" t="s">
        <v>36</v>
      </c>
      <c r="K548" t="s">
        <v>32</v>
      </c>
      <c r="L548" t="s">
        <v>43</v>
      </c>
      <c r="M548" t="str">
        <f>INDEX( dim_segment!$A$2:$A$5,MATCH(L548,  dim_segment!$B$2:$B$5, 0))</f>
        <v>SEG004</v>
      </c>
      <c r="N548" t="s">
        <v>28</v>
      </c>
      <c r="O548" s="2">
        <v>5</v>
      </c>
      <c r="P548" s="2">
        <v>45000</v>
      </c>
      <c r="Q548">
        <v>0.17</v>
      </c>
      <c r="R548" s="2">
        <v>186800</v>
      </c>
    </row>
    <row r="549" spans="1:18" x14ac:dyDescent="0.25">
      <c r="A549" t="s">
        <v>632</v>
      </c>
      <c r="B549" s="1">
        <v>45452</v>
      </c>
      <c r="C549" s="1" t="s">
        <v>84</v>
      </c>
      <c r="D549" t="s">
        <v>68</v>
      </c>
      <c r="E549" t="s">
        <v>603</v>
      </c>
      <c r="F549" t="s">
        <v>604</v>
      </c>
      <c r="G549" t="s">
        <v>22</v>
      </c>
      <c r="H549" t="s">
        <v>23</v>
      </c>
      <c r="I549" t="s">
        <v>60</v>
      </c>
      <c r="J549" t="s">
        <v>61</v>
      </c>
      <c r="K549" t="s">
        <v>26</v>
      </c>
      <c r="L549" t="s">
        <v>65</v>
      </c>
      <c r="M549" t="str">
        <f>INDEX( dim_segment!$A$2:$A$5,MATCH(L549,  dim_segment!$B$2:$B$5, 0))</f>
        <v>SEG003</v>
      </c>
      <c r="N549" t="s">
        <v>33</v>
      </c>
      <c r="O549" s="2">
        <v>1</v>
      </c>
      <c r="P549" s="2">
        <v>95000</v>
      </c>
      <c r="Q549">
        <v>0.09</v>
      </c>
      <c r="R549" s="2">
        <v>86400</v>
      </c>
    </row>
    <row r="550" spans="1:18" x14ac:dyDescent="0.25">
      <c r="A550" t="s">
        <v>633</v>
      </c>
      <c r="B550" s="1">
        <v>45455</v>
      </c>
      <c r="C550" s="1" t="s">
        <v>84</v>
      </c>
      <c r="D550" t="s">
        <v>68</v>
      </c>
      <c r="E550" t="s">
        <v>603</v>
      </c>
      <c r="F550" t="s">
        <v>604</v>
      </c>
      <c r="G550" t="s">
        <v>22</v>
      </c>
      <c r="H550" t="s">
        <v>23</v>
      </c>
      <c r="I550" t="s">
        <v>60</v>
      </c>
      <c r="J550" t="s">
        <v>61</v>
      </c>
      <c r="K550" t="s">
        <v>26</v>
      </c>
      <c r="L550" t="s">
        <v>43</v>
      </c>
      <c r="M550" t="str">
        <f>INDEX( dim_segment!$A$2:$A$5,MATCH(L550,  dim_segment!$B$2:$B$5, 0))</f>
        <v>SEG004</v>
      </c>
      <c r="N550" t="s">
        <v>54</v>
      </c>
      <c r="O550" s="2">
        <v>1</v>
      </c>
      <c r="P550" s="2">
        <v>95000</v>
      </c>
      <c r="Q550">
        <v>0.08</v>
      </c>
      <c r="R550" s="2">
        <v>87400</v>
      </c>
    </row>
    <row r="551" spans="1:18" x14ac:dyDescent="0.25">
      <c r="A551" t="s">
        <v>634</v>
      </c>
      <c r="B551" s="1">
        <v>45447</v>
      </c>
      <c r="C551" s="1" t="s">
        <v>84</v>
      </c>
      <c r="D551" t="s">
        <v>68</v>
      </c>
      <c r="E551" t="s">
        <v>603</v>
      </c>
      <c r="F551" t="s">
        <v>604</v>
      </c>
      <c r="G551" t="s">
        <v>22</v>
      </c>
      <c r="H551" t="s">
        <v>23</v>
      </c>
      <c r="I551" t="s">
        <v>51</v>
      </c>
      <c r="J551" t="s">
        <v>52</v>
      </c>
      <c r="K551" t="s">
        <v>42</v>
      </c>
      <c r="L551" t="s">
        <v>65</v>
      </c>
      <c r="M551" t="str">
        <f>INDEX( dim_segment!$A$2:$A$5,MATCH(L551,  dim_segment!$B$2:$B$5, 0))</f>
        <v>SEG003</v>
      </c>
      <c r="N551" t="s">
        <v>33</v>
      </c>
      <c r="O551" s="2">
        <v>5</v>
      </c>
      <c r="P551" s="2">
        <v>150000</v>
      </c>
      <c r="Q551">
        <v>0.16</v>
      </c>
      <c r="R551" s="2">
        <v>630000</v>
      </c>
    </row>
    <row r="552" spans="1:18" x14ac:dyDescent="0.25">
      <c r="A552" t="s">
        <v>635</v>
      </c>
      <c r="B552" s="1">
        <v>45475</v>
      </c>
      <c r="C552" s="1" t="s">
        <v>92</v>
      </c>
      <c r="D552" t="s">
        <v>93</v>
      </c>
      <c r="E552" t="s">
        <v>603</v>
      </c>
      <c r="F552" t="s">
        <v>604</v>
      </c>
      <c r="G552" t="s">
        <v>22</v>
      </c>
      <c r="H552" t="s">
        <v>23</v>
      </c>
      <c r="I552" t="s">
        <v>51</v>
      </c>
      <c r="J552" t="s">
        <v>52</v>
      </c>
      <c r="K552" t="s">
        <v>42</v>
      </c>
      <c r="L552" t="s">
        <v>23</v>
      </c>
      <c r="M552" t="str">
        <f>INDEX( dim_segment!$A$2:$A$5,MATCH(L552,  dim_segment!$B$2:$B$5, 0))</f>
        <v>SEG001</v>
      </c>
      <c r="N552" t="s">
        <v>33</v>
      </c>
      <c r="O552" s="2">
        <v>2</v>
      </c>
      <c r="P552" s="2">
        <v>150000</v>
      </c>
      <c r="Q552">
        <v>0.08</v>
      </c>
      <c r="R552" s="2">
        <v>276000</v>
      </c>
    </row>
    <row r="553" spans="1:18" x14ac:dyDescent="0.25">
      <c r="A553" t="s">
        <v>636</v>
      </c>
      <c r="B553" s="1">
        <v>45490</v>
      </c>
      <c r="C553" s="1" t="s">
        <v>92</v>
      </c>
      <c r="D553" t="s">
        <v>93</v>
      </c>
      <c r="E553" t="s">
        <v>603</v>
      </c>
      <c r="F553" t="s">
        <v>604</v>
      </c>
      <c r="G553" t="s">
        <v>22</v>
      </c>
      <c r="H553" t="s">
        <v>23</v>
      </c>
      <c r="I553" t="s">
        <v>40</v>
      </c>
      <c r="J553" t="s">
        <v>41</v>
      </c>
      <c r="K553" t="s">
        <v>42</v>
      </c>
      <c r="L553" t="s">
        <v>23</v>
      </c>
      <c r="M553" t="str">
        <f>INDEX( dim_segment!$A$2:$A$5,MATCH(L553,  dim_segment!$B$2:$B$5, 0))</f>
        <v>SEG001</v>
      </c>
      <c r="N553" t="s">
        <v>28</v>
      </c>
      <c r="O553" s="2">
        <v>1</v>
      </c>
      <c r="P553" s="2">
        <v>85000</v>
      </c>
      <c r="Q553">
        <v>0.06</v>
      </c>
      <c r="R553" s="2">
        <v>79900</v>
      </c>
    </row>
    <row r="554" spans="1:18" x14ac:dyDescent="0.25">
      <c r="A554" t="s">
        <v>637</v>
      </c>
      <c r="B554" s="1">
        <v>45496</v>
      </c>
      <c r="C554" s="1" t="s">
        <v>92</v>
      </c>
      <c r="D554" t="s">
        <v>93</v>
      </c>
      <c r="E554" t="s">
        <v>603</v>
      </c>
      <c r="F554" t="s">
        <v>604</v>
      </c>
      <c r="G554" t="s">
        <v>22</v>
      </c>
      <c r="H554" t="s">
        <v>23</v>
      </c>
      <c r="I554" t="s">
        <v>24</v>
      </c>
      <c r="J554" t="s">
        <v>25</v>
      </c>
      <c r="K554" t="s">
        <v>26</v>
      </c>
      <c r="L554" t="s">
        <v>65</v>
      </c>
      <c r="M554" t="str">
        <f>INDEX( dim_segment!$A$2:$A$5,MATCH(L554,  dim_segment!$B$2:$B$5, 0))</f>
        <v>SEG003</v>
      </c>
      <c r="N554" t="s">
        <v>54</v>
      </c>
      <c r="O554" s="2">
        <v>3</v>
      </c>
      <c r="P554" s="2">
        <v>75000</v>
      </c>
      <c r="Q554">
        <v>0.19</v>
      </c>
      <c r="R554" s="2">
        <v>182200</v>
      </c>
    </row>
    <row r="555" spans="1:18" x14ac:dyDescent="0.25">
      <c r="A555" t="s">
        <v>638</v>
      </c>
      <c r="B555" s="1">
        <v>45491</v>
      </c>
      <c r="C555" s="1" t="s">
        <v>92</v>
      </c>
      <c r="D555" t="s">
        <v>93</v>
      </c>
      <c r="E555" t="s">
        <v>603</v>
      </c>
      <c r="F555" t="s">
        <v>604</v>
      </c>
      <c r="G555" t="s">
        <v>22</v>
      </c>
      <c r="H555" t="s">
        <v>23</v>
      </c>
      <c r="I555" t="s">
        <v>47</v>
      </c>
      <c r="J555" t="s">
        <v>48</v>
      </c>
      <c r="K555" t="s">
        <v>49</v>
      </c>
      <c r="L555" t="s">
        <v>27</v>
      </c>
      <c r="M555" t="str">
        <f>INDEX( dim_segment!$A$2:$A$5,MATCH(L555,  dim_segment!$B$2:$B$5, 0))</f>
        <v>SEG002</v>
      </c>
      <c r="N555" t="s">
        <v>37</v>
      </c>
      <c r="O555" s="2">
        <v>2</v>
      </c>
      <c r="P555" s="2">
        <v>200000</v>
      </c>
      <c r="Q555">
        <v>0.09</v>
      </c>
      <c r="R555" s="2">
        <v>364000</v>
      </c>
    </row>
    <row r="556" spans="1:18" x14ac:dyDescent="0.25">
      <c r="A556" t="s">
        <v>639</v>
      </c>
      <c r="B556" s="1">
        <v>45474</v>
      </c>
      <c r="C556" s="1" t="s">
        <v>92</v>
      </c>
      <c r="D556" t="s">
        <v>93</v>
      </c>
      <c r="E556" t="s">
        <v>603</v>
      </c>
      <c r="F556" t="s">
        <v>604</v>
      </c>
      <c r="G556" t="s">
        <v>22</v>
      </c>
      <c r="H556" t="s">
        <v>23</v>
      </c>
      <c r="I556" t="s">
        <v>24</v>
      </c>
      <c r="J556" t="s">
        <v>25</v>
      </c>
      <c r="K556" t="s">
        <v>26</v>
      </c>
      <c r="L556" t="s">
        <v>27</v>
      </c>
      <c r="M556" t="str">
        <f>INDEX( dim_segment!$A$2:$A$5,MATCH(L556,  dim_segment!$B$2:$B$5, 0))</f>
        <v>SEG002</v>
      </c>
      <c r="N556" t="s">
        <v>28</v>
      </c>
      <c r="O556" s="2">
        <v>4</v>
      </c>
      <c r="P556" s="2">
        <v>75000</v>
      </c>
      <c r="Q556">
        <v>0.18</v>
      </c>
      <c r="R556" s="2">
        <v>246000</v>
      </c>
    </row>
    <row r="557" spans="1:18" x14ac:dyDescent="0.25">
      <c r="A557" t="s">
        <v>640</v>
      </c>
      <c r="B557" s="1">
        <v>45485</v>
      </c>
      <c r="C557" s="1" t="s">
        <v>92</v>
      </c>
      <c r="D557" t="s">
        <v>93</v>
      </c>
      <c r="E557" t="s">
        <v>603</v>
      </c>
      <c r="F557" t="s">
        <v>604</v>
      </c>
      <c r="G557" t="s">
        <v>22</v>
      </c>
      <c r="H557" t="s">
        <v>23</v>
      </c>
      <c r="I557" t="s">
        <v>30</v>
      </c>
      <c r="J557" t="s">
        <v>31</v>
      </c>
      <c r="K557" t="s">
        <v>32</v>
      </c>
      <c r="L557" t="s">
        <v>43</v>
      </c>
      <c r="M557" t="str">
        <f>INDEX( dim_segment!$A$2:$A$5,MATCH(L557,  dim_segment!$B$2:$B$5, 0))</f>
        <v>SEG004</v>
      </c>
      <c r="N557" t="s">
        <v>28</v>
      </c>
      <c r="O557" s="2">
        <v>1</v>
      </c>
      <c r="P557" s="2">
        <v>60000</v>
      </c>
      <c r="Q557">
        <v>0.1</v>
      </c>
      <c r="R557" s="2">
        <v>54000</v>
      </c>
    </row>
    <row r="558" spans="1:18" x14ac:dyDescent="0.25">
      <c r="A558" t="s">
        <v>641</v>
      </c>
      <c r="B558" s="1">
        <v>45497</v>
      </c>
      <c r="C558" s="1" t="s">
        <v>92</v>
      </c>
      <c r="D558" t="s">
        <v>93</v>
      </c>
      <c r="E558" t="s">
        <v>603</v>
      </c>
      <c r="F558" t="s">
        <v>604</v>
      </c>
      <c r="G558" t="s">
        <v>22</v>
      </c>
      <c r="H558" t="s">
        <v>23</v>
      </c>
      <c r="I558" t="s">
        <v>60</v>
      </c>
      <c r="J558" t="s">
        <v>61</v>
      </c>
      <c r="K558" t="s">
        <v>26</v>
      </c>
      <c r="L558" t="s">
        <v>23</v>
      </c>
      <c r="M558" t="str">
        <f>INDEX( dim_segment!$A$2:$A$5,MATCH(L558,  dim_segment!$B$2:$B$5, 0))</f>
        <v>SEG001</v>
      </c>
      <c r="N558" t="s">
        <v>33</v>
      </c>
      <c r="O558" s="2">
        <v>3</v>
      </c>
      <c r="P558" s="2">
        <v>95000</v>
      </c>
      <c r="Q558">
        <v>0.08</v>
      </c>
      <c r="R558" s="2">
        <v>262200</v>
      </c>
    </row>
    <row r="559" spans="1:18" x14ac:dyDescent="0.25">
      <c r="A559" t="s">
        <v>642</v>
      </c>
      <c r="B559" s="1">
        <v>45482</v>
      </c>
      <c r="C559" s="1" t="s">
        <v>92</v>
      </c>
      <c r="D559" t="s">
        <v>93</v>
      </c>
      <c r="E559" t="s">
        <v>603</v>
      </c>
      <c r="F559" t="s">
        <v>604</v>
      </c>
      <c r="G559" t="s">
        <v>22</v>
      </c>
      <c r="H559" t="s">
        <v>23</v>
      </c>
      <c r="I559" t="s">
        <v>75</v>
      </c>
      <c r="J559" t="s">
        <v>76</v>
      </c>
      <c r="K559" t="s">
        <v>49</v>
      </c>
      <c r="L559" t="s">
        <v>43</v>
      </c>
      <c r="M559" t="str">
        <f>INDEX( dim_segment!$A$2:$A$5,MATCH(L559,  dim_segment!$B$2:$B$5, 0))</f>
        <v>SEG004</v>
      </c>
      <c r="N559" t="s">
        <v>54</v>
      </c>
      <c r="O559" s="2">
        <v>2</v>
      </c>
      <c r="P559" s="2">
        <v>120000</v>
      </c>
      <c r="Q559">
        <v>0.18</v>
      </c>
      <c r="R559" s="2">
        <v>196800</v>
      </c>
    </row>
    <row r="560" spans="1:18" x14ac:dyDescent="0.25">
      <c r="A560" t="s">
        <v>643</v>
      </c>
      <c r="B560" s="1">
        <v>45517</v>
      </c>
      <c r="C560" s="1" t="s">
        <v>102</v>
      </c>
      <c r="D560" t="s">
        <v>93</v>
      </c>
      <c r="E560" t="s">
        <v>603</v>
      </c>
      <c r="F560" t="s">
        <v>604</v>
      </c>
      <c r="G560" t="s">
        <v>22</v>
      </c>
      <c r="H560" t="s">
        <v>23</v>
      </c>
      <c r="I560" t="s">
        <v>60</v>
      </c>
      <c r="J560" t="s">
        <v>61</v>
      </c>
      <c r="K560" t="s">
        <v>26</v>
      </c>
      <c r="L560" t="s">
        <v>23</v>
      </c>
      <c r="M560" t="str">
        <f>INDEX( dim_segment!$A$2:$A$5,MATCH(L560,  dim_segment!$B$2:$B$5, 0))</f>
        <v>SEG001</v>
      </c>
      <c r="N560" t="s">
        <v>54</v>
      </c>
      <c r="O560" s="2">
        <v>2</v>
      </c>
      <c r="P560" s="2">
        <v>95000</v>
      </c>
      <c r="Q560">
        <v>0.1</v>
      </c>
      <c r="R560" s="2">
        <v>171000</v>
      </c>
    </row>
    <row r="561" spans="1:18" x14ac:dyDescent="0.25">
      <c r="A561" t="s">
        <v>644</v>
      </c>
      <c r="B561" s="1">
        <v>45507</v>
      </c>
      <c r="C561" s="1" t="s">
        <v>102</v>
      </c>
      <c r="D561" t="s">
        <v>93</v>
      </c>
      <c r="E561" t="s">
        <v>603</v>
      </c>
      <c r="F561" t="s">
        <v>604</v>
      </c>
      <c r="G561" t="s">
        <v>22</v>
      </c>
      <c r="H561" t="s">
        <v>23</v>
      </c>
      <c r="I561" t="s">
        <v>75</v>
      </c>
      <c r="J561" t="s">
        <v>76</v>
      </c>
      <c r="K561" t="s">
        <v>49</v>
      </c>
      <c r="L561" t="s">
        <v>23</v>
      </c>
      <c r="M561" t="str">
        <f>INDEX( dim_segment!$A$2:$A$5,MATCH(L561,  dim_segment!$B$2:$B$5, 0))</f>
        <v>SEG001</v>
      </c>
      <c r="N561" t="s">
        <v>33</v>
      </c>
      <c r="O561" s="2">
        <v>3</v>
      </c>
      <c r="P561" s="2">
        <v>120000</v>
      </c>
      <c r="Q561">
        <v>0.12</v>
      </c>
      <c r="R561" s="2">
        <v>316800</v>
      </c>
    </row>
    <row r="562" spans="1:18" x14ac:dyDescent="0.25">
      <c r="A562" t="s">
        <v>645</v>
      </c>
      <c r="B562" s="1">
        <v>45511</v>
      </c>
      <c r="C562" s="1" t="s">
        <v>102</v>
      </c>
      <c r="D562" t="s">
        <v>93</v>
      </c>
      <c r="E562" t="s">
        <v>603</v>
      </c>
      <c r="F562" t="s">
        <v>604</v>
      </c>
      <c r="G562" t="s">
        <v>22</v>
      </c>
      <c r="H562" t="s">
        <v>23</v>
      </c>
      <c r="I562" t="s">
        <v>60</v>
      </c>
      <c r="J562" t="s">
        <v>61</v>
      </c>
      <c r="K562" t="s">
        <v>26</v>
      </c>
      <c r="L562" t="s">
        <v>43</v>
      </c>
      <c r="M562" t="str">
        <f>INDEX( dim_segment!$A$2:$A$5,MATCH(L562,  dim_segment!$B$2:$B$5, 0))</f>
        <v>SEG004</v>
      </c>
      <c r="N562" t="s">
        <v>54</v>
      </c>
      <c r="O562" s="2">
        <v>3</v>
      </c>
      <c r="P562" s="2">
        <v>95000</v>
      </c>
      <c r="Q562">
        <v>0.12</v>
      </c>
      <c r="R562" s="2">
        <v>250800</v>
      </c>
    </row>
    <row r="563" spans="1:18" x14ac:dyDescent="0.25">
      <c r="A563" t="s">
        <v>646</v>
      </c>
      <c r="B563" s="1">
        <v>45526</v>
      </c>
      <c r="C563" s="1" t="s">
        <v>102</v>
      </c>
      <c r="D563" t="s">
        <v>93</v>
      </c>
      <c r="E563" t="s">
        <v>603</v>
      </c>
      <c r="F563" t="s">
        <v>604</v>
      </c>
      <c r="G563" t="s">
        <v>22</v>
      </c>
      <c r="H563" t="s">
        <v>23</v>
      </c>
      <c r="I563" t="s">
        <v>30</v>
      </c>
      <c r="J563" t="s">
        <v>31</v>
      </c>
      <c r="K563" t="s">
        <v>32</v>
      </c>
      <c r="L563" t="s">
        <v>65</v>
      </c>
      <c r="M563" t="str">
        <f>INDEX( dim_segment!$A$2:$A$5,MATCH(L563,  dim_segment!$B$2:$B$5, 0))</f>
        <v>SEG003</v>
      </c>
      <c r="N563" t="s">
        <v>54</v>
      </c>
      <c r="O563" s="2">
        <v>4</v>
      </c>
      <c r="P563" s="2">
        <v>60000</v>
      </c>
      <c r="Q563">
        <v>0.15</v>
      </c>
      <c r="R563" s="2">
        <v>204000</v>
      </c>
    </row>
    <row r="564" spans="1:18" x14ac:dyDescent="0.25">
      <c r="A564" t="s">
        <v>647</v>
      </c>
      <c r="B564" s="1">
        <v>45512</v>
      </c>
      <c r="C564" s="1" t="s">
        <v>102</v>
      </c>
      <c r="D564" t="s">
        <v>93</v>
      </c>
      <c r="E564" t="s">
        <v>603</v>
      </c>
      <c r="F564" t="s">
        <v>604</v>
      </c>
      <c r="G564" t="s">
        <v>22</v>
      </c>
      <c r="H564" t="s">
        <v>23</v>
      </c>
      <c r="I564" t="s">
        <v>51</v>
      </c>
      <c r="J564" t="s">
        <v>52</v>
      </c>
      <c r="K564" t="s">
        <v>42</v>
      </c>
      <c r="L564" t="s">
        <v>43</v>
      </c>
      <c r="M564" t="str">
        <f>INDEX( dim_segment!$A$2:$A$5,MATCH(L564,  dim_segment!$B$2:$B$5, 0))</f>
        <v>SEG004</v>
      </c>
      <c r="N564" t="s">
        <v>33</v>
      </c>
      <c r="O564" s="2">
        <v>5</v>
      </c>
      <c r="P564" s="2">
        <v>150000</v>
      </c>
      <c r="Q564">
        <v>7.0000000000000007E-2</v>
      </c>
      <c r="R564" s="2">
        <v>697500</v>
      </c>
    </row>
    <row r="565" spans="1:18" x14ac:dyDescent="0.25">
      <c r="A565" t="s">
        <v>648</v>
      </c>
      <c r="B565" s="1">
        <v>45513</v>
      </c>
      <c r="C565" s="1" t="s">
        <v>102</v>
      </c>
      <c r="D565" t="s">
        <v>93</v>
      </c>
      <c r="E565" t="s">
        <v>603</v>
      </c>
      <c r="F565" t="s">
        <v>604</v>
      </c>
      <c r="G565" t="s">
        <v>22</v>
      </c>
      <c r="H565" t="s">
        <v>23</v>
      </c>
      <c r="I565" t="s">
        <v>35</v>
      </c>
      <c r="J565" t="s">
        <v>36</v>
      </c>
      <c r="K565" t="s">
        <v>32</v>
      </c>
      <c r="L565" t="s">
        <v>23</v>
      </c>
      <c r="M565" t="str">
        <f>INDEX( dim_segment!$A$2:$A$5,MATCH(L565,  dim_segment!$B$2:$B$5, 0))</f>
        <v>SEG001</v>
      </c>
      <c r="N565" t="s">
        <v>54</v>
      </c>
      <c r="O565" s="2">
        <v>1</v>
      </c>
      <c r="P565" s="2">
        <v>45000</v>
      </c>
      <c r="Q565">
        <v>0.05</v>
      </c>
      <c r="R565" s="2">
        <v>42800</v>
      </c>
    </row>
    <row r="566" spans="1:18" x14ac:dyDescent="0.25">
      <c r="A566" t="s">
        <v>649</v>
      </c>
      <c r="B566" s="1">
        <v>45559</v>
      </c>
      <c r="C566" s="1" t="s">
        <v>106</v>
      </c>
      <c r="D566" t="s">
        <v>93</v>
      </c>
      <c r="E566" t="s">
        <v>603</v>
      </c>
      <c r="F566" t="s">
        <v>604</v>
      </c>
      <c r="G566" t="s">
        <v>22</v>
      </c>
      <c r="H566" t="s">
        <v>23</v>
      </c>
      <c r="I566" t="s">
        <v>35</v>
      </c>
      <c r="J566" t="s">
        <v>36</v>
      </c>
      <c r="K566" t="s">
        <v>32</v>
      </c>
      <c r="L566" t="s">
        <v>65</v>
      </c>
      <c r="M566" t="str">
        <f>INDEX( dim_segment!$A$2:$A$5,MATCH(L566,  dim_segment!$B$2:$B$5, 0))</f>
        <v>SEG003</v>
      </c>
      <c r="N566" t="s">
        <v>37</v>
      </c>
      <c r="O566" s="2">
        <v>2</v>
      </c>
      <c r="P566" s="2">
        <v>45000</v>
      </c>
      <c r="Q566">
        <v>0.09</v>
      </c>
      <c r="R566" s="2">
        <v>81900</v>
      </c>
    </row>
    <row r="567" spans="1:18" x14ac:dyDescent="0.25">
      <c r="A567" t="s">
        <v>650</v>
      </c>
      <c r="B567" s="1">
        <v>45551</v>
      </c>
      <c r="C567" s="1" t="s">
        <v>106</v>
      </c>
      <c r="D567" t="s">
        <v>93</v>
      </c>
      <c r="E567" t="s">
        <v>603</v>
      </c>
      <c r="F567" t="s">
        <v>604</v>
      </c>
      <c r="G567" t="s">
        <v>22</v>
      </c>
      <c r="H567" t="s">
        <v>23</v>
      </c>
      <c r="I567" t="s">
        <v>75</v>
      </c>
      <c r="J567" t="s">
        <v>76</v>
      </c>
      <c r="K567" t="s">
        <v>49</v>
      </c>
      <c r="L567" t="s">
        <v>23</v>
      </c>
      <c r="M567" t="str">
        <f>INDEX( dim_segment!$A$2:$A$5,MATCH(L567,  dim_segment!$B$2:$B$5, 0))</f>
        <v>SEG001</v>
      </c>
      <c r="N567" t="s">
        <v>33</v>
      </c>
      <c r="O567" s="2">
        <v>4</v>
      </c>
      <c r="P567" s="2">
        <v>120000</v>
      </c>
      <c r="Q567">
        <v>7.0000000000000007E-2</v>
      </c>
      <c r="R567" s="2">
        <v>446400</v>
      </c>
    </row>
    <row r="568" spans="1:18" x14ac:dyDescent="0.25">
      <c r="A568" t="s">
        <v>651</v>
      </c>
      <c r="B568" s="1">
        <v>45536</v>
      </c>
      <c r="C568" s="1" t="s">
        <v>106</v>
      </c>
      <c r="D568" t="s">
        <v>93</v>
      </c>
      <c r="E568" t="s">
        <v>603</v>
      </c>
      <c r="F568" t="s">
        <v>604</v>
      </c>
      <c r="G568" t="s">
        <v>22</v>
      </c>
      <c r="H568" t="s">
        <v>23</v>
      </c>
      <c r="I568" t="s">
        <v>75</v>
      </c>
      <c r="J568" t="s">
        <v>76</v>
      </c>
      <c r="K568" t="s">
        <v>49</v>
      </c>
      <c r="L568" t="s">
        <v>43</v>
      </c>
      <c r="M568" t="str">
        <f>INDEX( dim_segment!$A$2:$A$5,MATCH(L568,  dim_segment!$B$2:$B$5, 0))</f>
        <v>SEG004</v>
      </c>
      <c r="N568" t="s">
        <v>37</v>
      </c>
      <c r="O568" s="2">
        <v>2</v>
      </c>
      <c r="P568" s="2">
        <v>120000</v>
      </c>
      <c r="Q568">
        <v>7.0000000000000007E-2</v>
      </c>
      <c r="R568" s="2">
        <v>223200</v>
      </c>
    </row>
    <row r="569" spans="1:18" x14ac:dyDescent="0.25">
      <c r="A569" t="s">
        <v>652</v>
      </c>
      <c r="B569" s="1">
        <v>45547</v>
      </c>
      <c r="C569" s="1" t="s">
        <v>106</v>
      </c>
      <c r="D569" t="s">
        <v>93</v>
      </c>
      <c r="E569" t="s">
        <v>603</v>
      </c>
      <c r="F569" t="s">
        <v>604</v>
      </c>
      <c r="G569" t="s">
        <v>22</v>
      </c>
      <c r="H569" t="s">
        <v>23</v>
      </c>
      <c r="I569" t="s">
        <v>51</v>
      </c>
      <c r="J569" t="s">
        <v>52</v>
      </c>
      <c r="K569" t="s">
        <v>42</v>
      </c>
      <c r="L569" t="s">
        <v>27</v>
      </c>
      <c r="M569" t="str">
        <f>INDEX( dim_segment!$A$2:$A$5,MATCH(L569,  dim_segment!$B$2:$B$5, 0))</f>
        <v>SEG002</v>
      </c>
      <c r="N569" t="s">
        <v>33</v>
      </c>
      <c r="O569" s="2">
        <v>4</v>
      </c>
      <c r="P569" s="2">
        <v>150000</v>
      </c>
      <c r="Q569">
        <v>0.13</v>
      </c>
      <c r="R569" s="2">
        <v>522000</v>
      </c>
    </row>
    <row r="570" spans="1:18" x14ac:dyDescent="0.25">
      <c r="A570" t="s">
        <v>653</v>
      </c>
      <c r="B570" s="1">
        <v>45541</v>
      </c>
      <c r="C570" s="1" t="s">
        <v>106</v>
      </c>
      <c r="D570" t="s">
        <v>93</v>
      </c>
      <c r="E570" t="s">
        <v>603</v>
      </c>
      <c r="F570" t="s">
        <v>604</v>
      </c>
      <c r="G570" t="s">
        <v>22</v>
      </c>
      <c r="H570" t="s">
        <v>23</v>
      </c>
      <c r="I570" t="s">
        <v>35</v>
      </c>
      <c r="J570" t="s">
        <v>36</v>
      </c>
      <c r="K570" t="s">
        <v>32</v>
      </c>
      <c r="L570" t="s">
        <v>23</v>
      </c>
      <c r="M570" t="str">
        <f>INDEX( dim_segment!$A$2:$A$5,MATCH(L570,  dim_segment!$B$2:$B$5, 0))</f>
        <v>SEG001</v>
      </c>
      <c r="N570" t="s">
        <v>54</v>
      </c>
      <c r="O570" s="2">
        <v>3</v>
      </c>
      <c r="P570" s="2">
        <v>45000</v>
      </c>
      <c r="Q570">
        <v>0.12</v>
      </c>
      <c r="R570" s="2">
        <v>118800</v>
      </c>
    </row>
    <row r="571" spans="1:18" x14ac:dyDescent="0.25">
      <c r="A571" t="s">
        <v>654</v>
      </c>
      <c r="B571" s="1">
        <v>45559</v>
      </c>
      <c r="C571" s="1" t="s">
        <v>106</v>
      </c>
      <c r="D571" t="s">
        <v>93</v>
      </c>
      <c r="E571" t="s">
        <v>603</v>
      </c>
      <c r="F571" t="s">
        <v>604</v>
      </c>
      <c r="G571" t="s">
        <v>22</v>
      </c>
      <c r="H571" t="s">
        <v>23</v>
      </c>
      <c r="I571" t="s">
        <v>30</v>
      </c>
      <c r="J571" t="s">
        <v>31</v>
      </c>
      <c r="K571" t="s">
        <v>32</v>
      </c>
      <c r="L571" t="s">
        <v>27</v>
      </c>
      <c r="M571" t="str">
        <f>INDEX( dim_segment!$A$2:$A$5,MATCH(L571,  dim_segment!$B$2:$B$5, 0))</f>
        <v>SEG002</v>
      </c>
      <c r="N571" t="s">
        <v>33</v>
      </c>
      <c r="O571" s="2">
        <v>2</v>
      </c>
      <c r="P571" s="2">
        <v>60000</v>
      </c>
      <c r="Q571">
        <v>0.12</v>
      </c>
      <c r="R571" s="2">
        <v>105600</v>
      </c>
    </row>
    <row r="572" spans="1:18" x14ac:dyDescent="0.25">
      <c r="A572" t="s">
        <v>655</v>
      </c>
      <c r="B572" s="1">
        <v>45559</v>
      </c>
      <c r="C572" s="1" t="s">
        <v>106</v>
      </c>
      <c r="D572" t="s">
        <v>93</v>
      </c>
      <c r="E572" t="s">
        <v>603</v>
      </c>
      <c r="F572" t="s">
        <v>604</v>
      </c>
      <c r="G572" t="s">
        <v>22</v>
      </c>
      <c r="H572" t="s">
        <v>23</v>
      </c>
      <c r="I572" t="s">
        <v>40</v>
      </c>
      <c r="J572" t="s">
        <v>41</v>
      </c>
      <c r="K572" t="s">
        <v>42</v>
      </c>
      <c r="L572" t="s">
        <v>23</v>
      </c>
      <c r="M572" t="str">
        <f>INDEX( dim_segment!$A$2:$A$5,MATCH(L572,  dim_segment!$B$2:$B$5, 0))</f>
        <v>SEG001</v>
      </c>
      <c r="N572" t="s">
        <v>28</v>
      </c>
      <c r="O572" s="2">
        <v>2</v>
      </c>
      <c r="P572" s="2">
        <v>85000</v>
      </c>
      <c r="Q572">
        <v>0.08</v>
      </c>
      <c r="R572" s="2">
        <v>156400</v>
      </c>
    </row>
    <row r="573" spans="1:18" x14ac:dyDescent="0.25">
      <c r="A573" t="s">
        <v>656</v>
      </c>
      <c r="B573" s="1">
        <v>45582</v>
      </c>
      <c r="C573" s="1" t="s">
        <v>115</v>
      </c>
      <c r="D573" t="s">
        <v>116</v>
      </c>
      <c r="E573" t="s">
        <v>603</v>
      </c>
      <c r="F573" t="s">
        <v>604</v>
      </c>
      <c r="G573" t="s">
        <v>22</v>
      </c>
      <c r="H573" t="s">
        <v>23</v>
      </c>
      <c r="I573" t="s">
        <v>30</v>
      </c>
      <c r="J573" t="s">
        <v>31</v>
      </c>
      <c r="K573" t="s">
        <v>32</v>
      </c>
      <c r="L573" t="s">
        <v>43</v>
      </c>
      <c r="M573" t="str">
        <f>INDEX( dim_segment!$A$2:$A$5,MATCH(L573,  dim_segment!$B$2:$B$5, 0))</f>
        <v>SEG004</v>
      </c>
      <c r="N573" t="s">
        <v>28</v>
      </c>
      <c r="O573" s="2">
        <v>3</v>
      </c>
      <c r="P573" s="2">
        <v>60000</v>
      </c>
      <c r="Q573">
        <v>7.0000000000000007E-2</v>
      </c>
      <c r="R573" s="2">
        <v>167400</v>
      </c>
    </row>
    <row r="574" spans="1:18" x14ac:dyDescent="0.25">
      <c r="A574" t="s">
        <v>657</v>
      </c>
      <c r="B574" s="1">
        <v>45593</v>
      </c>
      <c r="C574" s="1" t="s">
        <v>115</v>
      </c>
      <c r="D574" t="s">
        <v>116</v>
      </c>
      <c r="E574" t="s">
        <v>603</v>
      </c>
      <c r="F574" t="s">
        <v>604</v>
      </c>
      <c r="G574" t="s">
        <v>22</v>
      </c>
      <c r="H574" t="s">
        <v>23</v>
      </c>
      <c r="I574" t="s">
        <v>47</v>
      </c>
      <c r="J574" t="s">
        <v>48</v>
      </c>
      <c r="K574" t="s">
        <v>49</v>
      </c>
      <c r="L574" t="s">
        <v>43</v>
      </c>
      <c r="M574" t="str">
        <f>INDEX( dim_segment!$A$2:$A$5,MATCH(L574,  dim_segment!$B$2:$B$5, 0))</f>
        <v>SEG004</v>
      </c>
      <c r="N574" t="s">
        <v>54</v>
      </c>
      <c r="O574" s="2">
        <v>5</v>
      </c>
      <c r="P574" s="2">
        <v>200000</v>
      </c>
      <c r="Q574">
        <v>0.15</v>
      </c>
      <c r="R574" s="2">
        <v>850000</v>
      </c>
    </row>
    <row r="575" spans="1:18" x14ac:dyDescent="0.25">
      <c r="A575" t="s">
        <v>658</v>
      </c>
      <c r="B575" s="1">
        <v>45572</v>
      </c>
      <c r="C575" s="1" t="s">
        <v>115</v>
      </c>
      <c r="D575" t="s">
        <v>116</v>
      </c>
      <c r="E575" t="s">
        <v>603</v>
      </c>
      <c r="F575" t="s">
        <v>604</v>
      </c>
      <c r="G575" t="s">
        <v>22</v>
      </c>
      <c r="H575" t="s">
        <v>23</v>
      </c>
      <c r="I575" t="s">
        <v>75</v>
      </c>
      <c r="J575" t="s">
        <v>76</v>
      </c>
      <c r="K575" t="s">
        <v>49</v>
      </c>
      <c r="L575" t="s">
        <v>27</v>
      </c>
      <c r="M575" t="str">
        <f>INDEX( dim_segment!$A$2:$A$5,MATCH(L575,  dim_segment!$B$2:$B$5, 0))</f>
        <v>SEG002</v>
      </c>
      <c r="N575" t="s">
        <v>37</v>
      </c>
      <c r="O575" s="2">
        <v>3</v>
      </c>
      <c r="P575" s="2">
        <v>120000</v>
      </c>
      <c r="Q575">
        <v>0.13</v>
      </c>
      <c r="R575" s="2">
        <v>313200</v>
      </c>
    </row>
    <row r="576" spans="1:18" x14ac:dyDescent="0.25">
      <c r="A576" t="s">
        <v>659</v>
      </c>
      <c r="B576" s="1">
        <v>45573</v>
      </c>
      <c r="C576" s="1" t="s">
        <v>115</v>
      </c>
      <c r="D576" t="s">
        <v>116</v>
      </c>
      <c r="E576" t="s">
        <v>603</v>
      </c>
      <c r="F576" t="s">
        <v>604</v>
      </c>
      <c r="G576" t="s">
        <v>22</v>
      </c>
      <c r="H576" t="s">
        <v>23</v>
      </c>
      <c r="I576" t="s">
        <v>47</v>
      </c>
      <c r="J576" t="s">
        <v>48</v>
      </c>
      <c r="K576" t="s">
        <v>49</v>
      </c>
      <c r="L576" t="s">
        <v>65</v>
      </c>
      <c r="M576" t="str">
        <f>INDEX( dim_segment!$A$2:$A$5,MATCH(L576,  dim_segment!$B$2:$B$5, 0))</f>
        <v>SEG003</v>
      </c>
      <c r="N576" t="s">
        <v>37</v>
      </c>
      <c r="O576" s="2">
        <v>2</v>
      </c>
      <c r="P576" s="2">
        <v>200000</v>
      </c>
      <c r="Q576">
        <v>0.15</v>
      </c>
      <c r="R576" s="2">
        <v>340000</v>
      </c>
    </row>
    <row r="577" spans="1:18" x14ac:dyDescent="0.25">
      <c r="A577" t="s">
        <v>660</v>
      </c>
      <c r="B577" s="1">
        <v>45578</v>
      </c>
      <c r="C577" s="1" t="s">
        <v>115</v>
      </c>
      <c r="D577" t="s">
        <v>116</v>
      </c>
      <c r="E577" t="s">
        <v>603</v>
      </c>
      <c r="F577" t="s">
        <v>604</v>
      </c>
      <c r="G577" t="s">
        <v>22</v>
      </c>
      <c r="H577" t="s">
        <v>23</v>
      </c>
      <c r="I577" t="s">
        <v>75</v>
      </c>
      <c r="J577" t="s">
        <v>76</v>
      </c>
      <c r="K577" t="s">
        <v>49</v>
      </c>
      <c r="L577" t="s">
        <v>65</v>
      </c>
      <c r="M577" t="str">
        <f>INDEX( dim_segment!$A$2:$A$5,MATCH(L577,  dim_segment!$B$2:$B$5, 0))</f>
        <v>SEG003</v>
      </c>
      <c r="N577" t="s">
        <v>33</v>
      </c>
      <c r="O577" s="2">
        <v>4</v>
      </c>
      <c r="P577" s="2">
        <v>120000</v>
      </c>
      <c r="Q577">
        <v>0.12</v>
      </c>
      <c r="R577" s="2">
        <v>422400</v>
      </c>
    </row>
    <row r="578" spans="1:18" x14ac:dyDescent="0.25">
      <c r="A578" t="s">
        <v>661</v>
      </c>
      <c r="B578" s="1">
        <v>45581</v>
      </c>
      <c r="C578" s="1" t="s">
        <v>115</v>
      </c>
      <c r="D578" t="s">
        <v>116</v>
      </c>
      <c r="E578" t="s">
        <v>603</v>
      </c>
      <c r="F578" t="s">
        <v>604</v>
      </c>
      <c r="G578" t="s">
        <v>22</v>
      </c>
      <c r="H578" t="s">
        <v>23</v>
      </c>
      <c r="I578" t="s">
        <v>60</v>
      </c>
      <c r="J578" t="s">
        <v>61</v>
      </c>
      <c r="K578" t="s">
        <v>26</v>
      </c>
      <c r="L578" t="s">
        <v>27</v>
      </c>
      <c r="M578" t="str">
        <f>INDEX( dim_segment!$A$2:$A$5,MATCH(L578,  dim_segment!$B$2:$B$5, 0))</f>
        <v>SEG002</v>
      </c>
      <c r="N578" t="s">
        <v>54</v>
      </c>
      <c r="O578" s="2">
        <v>2</v>
      </c>
      <c r="P578" s="2">
        <v>95000</v>
      </c>
      <c r="Q578">
        <v>0.14000000000000001</v>
      </c>
      <c r="R578" s="2">
        <v>163400</v>
      </c>
    </row>
    <row r="579" spans="1:18" x14ac:dyDescent="0.25">
      <c r="A579" t="s">
        <v>662</v>
      </c>
      <c r="B579" s="1">
        <v>45593</v>
      </c>
      <c r="C579" s="1" t="s">
        <v>115</v>
      </c>
      <c r="D579" t="s">
        <v>116</v>
      </c>
      <c r="E579" t="s">
        <v>603</v>
      </c>
      <c r="F579" t="s">
        <v>604</v>
      </c>
      <c r="G579" t="s">
        <v>22</v>
      </c>
      <c r="H579" t="s">
        <v>23</v>
      </c>
      <c r="I579" t="s">
        <v>24</v>
      </c>
      <c r="J579" t="s">
        <v>25</v>
      </c>
      <c r="K579" t="s">
        <v>26</v>
      </c>
      <c r="L579" t="s">
        <v>27</v>
      </c>
      <c r="M579" t="str">
        <f>INDEX( dim_segment!$A$2:$A$5,MATCH(L579,  dim_segment!$B$2:$B$5, 0))</f>
        <v>SEG002</v>
      </c>
      <c r="N579" t="s">
        <v>33</v>
      </c>
      <c r="O579" s="2">
        <v>2</v>
      </c>
      <c r="P579" s="2">
        <v>75000</v>
      </c>
      <c r="Q579">
        <v>0.08</v>
      </c>
      <c r="R579" s="2">
        <v>138000</v>
      </c>
    </row>
    <row r="580" spans="1:18" x14ac:dyDescent="0.25">
      <c r="A580" t="s">
        <v>663</v>
      </c>
      <c r="B580" s="1">
        <v>45605</v>
      </c>
      <c r="C580" s="1" t="s">
        <v>125</v>
      </c>
      <c r="D580" t="s">
        <v>116</v>
      </c>
      <c r="E580" t="s">
        <v>603</v>
      </c>
      <c r="F580" t="s">
        <v>604</v>
      </c>
      <c r="G580" t="s">
        <v>22</v>
      </c>
      <c r="H580" t="s">
        <v>23</v>
      </c>
      <c r="I580" t="s">
        <v>51</v>
      </c>
      <c r="J580" t="s">
        <v>52</v>
      </c>
      <c r="K580" t="s">
        <v>42</v>
      </c>
      <c r="L580" t="s">
        <v>65</v>
      </c>
      <c r="M580" t="str">
        <f>INDEX( dim_segment!$A$2:$A$5,MATCH(L580,  dim_segment!$B$2:$B$5, 0))</f>
        <v>SEG003</v>
      </c>
      <c r="N580" t="s">
        <v>54</v>
      </c>
      <c r="O580" s="2">
        <v>2</v>
      </c>
      <c r="P580" s="2">
        <v>150000</v>
      </c>
      <c r="Q580">
        <v>0.19</v>
      </c>
      <c r="R580" s="2">
        <v>243000</v>
      </c>
    </row>
    <row r="581" spans="1:18" x14ac:dyDescent="0.25">
      <c r="A581" t="s">
        <v>664</v>
      </c>
      <c r="B581" s="1">
        <v>45616</v>
      </c>
      <c r="C581" s="1" t="s">
        <v>125</v>
      </c>
      <c r="D581" t="s">
        <v>116</v>
      </c>
      <c r="E581" t="s">
        <v>603</v>
      </c>
      <c r="F581" t="s">
        <v>604</v>
      </c>
      <c r="G581" t="s">
        <v>22</v>
      </c>
      <c r="H581" t="s">
        <v>23</v>
      </c>
      <c r="I581" t="s">
        <v>60</v>
      </c>
      <c r="J581" t="s">
        <v>61</v>
      </c>
      <c r="K581" t="s">
        <v>26</v>
      </c>
      <c r="L581" t="s">
        <v>27</v>
      </c>
      <c r="M581" t="str">
        <f>INDEX( dim_segment!$A$2:$A$5,MATCH(L581,  dim_segment!$B$2:$B$5, 0))</f>
        <v>SEG002</v>
      </c>
      <c r="N581" t="s">
        <v>33</v>
      </c>
      <c r="O581" s="2">
        <v>5</v>
      </c>
      <c r="P581" s="2">
        <v>95000</v>
      </c>
      <c r="Q581">
        <v>0.14000000000000001</v>
      </c>
      <c r="R581" s="2">
        <v>408500</v>
      </c>
    </row>
    <row r="582" spans="1:18" x14ac:dyDescent="0.25">
      <c r="A582" t="s">
        <v>665</v>
      </c>
      <c r="B582" s="1">
        <v>45600</v>
      </c>
      <c r="C582" s="1" t="s">
        <v>125</v>
      </c>
      <c r="D582" t="s">
        <v>116</v>
      </c>
      <c r="E582" t="s">
        <v>603</v>
      </c>
      <c r="F582" t="s">
        <v>604</v>
      </c>
      <c r="G582" t="s">
        <v>22</v>
      </c>
      <c r="H582" t="s">
        <v>23</v>
      </c>
      <c r="I582" t="s">
        <v>60</v>
      </c>
      <c r="J582" t="s">
        <v>61</v>
      </c>
      <c r="K582" t="s">
        <v>26</v>
      </c>
      <c r="L582" t="s">
        <v>27</v>
      </c>
      <c r="M582" t="str">
        <f>INDEX( dim_segment!$A$2:$A$5,MATCH(L582,  dim_segment!$B$2:$B$5, 0))</f>
        <v>SEG002</v>
      </c>
      <c r="N582" t="s">
        <v>37</v>
      </c>
      <c r="O582" s="2">
        <v>4</v>
      </c>
      <c r="P582" s="2">
        <v>95000</v>
      </c>
      <c r="Q582">
        <v>0.2</v>
      </c>
      <c r="R582" s="2">
        <v>304000</v>
      </c>
    </row>
    <row r="583" spans="1:18" x14ac:dyDescent="0.25">
      <c r="A583" t="s">
        <v>666</v>
      </c>
      <c r="B583" s="1">
        <v>45616</v>
      </c>
      <c r="C583" s="1" t="s">
        <v>125</v>
      </c>
      <c r="D583" t="s">
        <v>116</v>
      </c>
      <c r="E583" t="s">
        <v>603</v>
      </c>
      <c r="F583" t="s">
        <v>604</v>
      </c>
      <c r="G583" t="s">
        <v>22</v>
      </c>
      <c r="H583" t="s">
        <v>23</v>
      </c>
      <c r="I583" t="s">
        <v>30</v>
      </c>
      <c r="J583" t="s">
        <v>31</v>
      </c>
      <c r="K583" t="s">
        <v>32</v>
      </c>
      <c r="L583" t="s">
        <v>43</v>
      </c>
      <c r="M583" t="str">
        <f>INDEX( dim_segment!$A$2:$A$5,MATCH(L583,  dim_segment!$B$2:$B$5, 0))</f>
        <v>SEG004</v>
      </c>
      <c r="N583" t="s">
        <v>33</v>
      </c>
      <c r="O583" s="2">
        <v>5</v>
      </c>
      <c r="P583" s="2">
        <v>60000</v>
      </c>
      <c r="Q583">
        <v>0.12</v>
      </c>
      <c r="R583" s="2">
        <v>264000</v>
      </c>
    </row>
    <row r="584" spans="1:18" x14ac:dyDescent="0.25">
      <c r="A584" t="s">
        <v>667</v>
      </c>
      <c r="B584" s="1">
        <v>45610</v>
      </c>
      <c r="C584" s="1" t="s">
        <v>125</v>
      </c>
      <c r="D584" t="s">
        <v>116</v>
      </c>
      <c r="E584" t="s">
        <v>603</v>
      </c>
      <c r="F584" t="s">
        <v>604</v>
      </c>
      <c r="G584" t="s">
        <v>22</v>
      </c>
      <c r="H584" t="s">
        <v>23</v>
      </c>
      <c r="I584" t="s">
        <v>75</v>
      </c>
      <c r="J584" t="s">
        <v>76</v>
      </c>
      <c r="K584" t="s">
        <v>49</v>
      </c>
      <c r="L584" t="s">
        <v>27</v>
      </c>
      <c r="M584" t="str">
        <f>INDEX( dim_segment!$A$2:$A$5,MATCH(L584,  dim_segment!$B$2:$B$5, 0))</f>
        <v>SEG002</v>
      </c>
      <c r="N584" t="s">
        <v>37</v>
      </c>
      <c r="O584" s="2">
        <v>3</v>
      </c>
      <c r="P584" s="2">
        <v>120000</v>
      </c>
      <c r="Q584">
        <v>0.1</v>
      </c>
      <c r="R584" s="2">
        <v>324000</v>
      </c>
    </row>
    <row r="585" spans="1:18" x14ac:dyDescent="0.25">
      <c r="A585" t="s">
        <v>668</v>
      </c>
      <c r="B585" s="1">
        <v>45624</v>
      </c>
      <c r="C585" s="1" t="s">
        <v>125</v>
      </c>
      <c r="D585" t="s">
        <v>116</v>
      </c>
      <c r="E585" t="s">
        <v>603</v>
      </c>
      <c r="F585" t="s">
        <v>604</v>
      </c>
      <c r="G585" t="s">
        <v>22</v>
      </c>
      <c r="H585" t="s">
        <v>23</v>
      </c>
      <c r="I585" t="s">
        <v>24</v>
      </c>
      <c r="J585" t="s">
        <v>25</v>
      </c>
      <c r="K585" t="s">
        <v>26</v>
      </c>
      <c r="L585" t="s">
        <v>23</v>
      </c>
      <c r="M585" t="str">
        <f>INDEX( dim_segment!$A$2:$A$5,MATCH(L585,  dim_segment!$B$2:$B$5, 0))</f>
        <v>SEG001</v>
      </c>
      <c r="N585" t="s">
        <v>54</v>
      </c>
      <c r="O585" s="2">
        <v>2</v>
      </c>
      <c r="P585" s="2">
        <v>75000</v>
      </c>
      <c r="Q585">
        <v>0.09</v>
      </c>
      <c r="R585" s="2">
        <v>136500</v>
      </c>
    </row>
    <row r="586" spans="1:18" x14ac:dyDescent="0.25">
      <c r="A586" t="s">
        <v>669</v>
      </c>
      <c r="B586" s="1">
        <v>45598</v>
      </c>
      <c r="C586" s="1" t="s">
        <v>125</v>
      </c>
      <c r="D586" t="s">
        <v>116</v>
      </c>
      <c r="E586" t="s">
        <v>603</v>
      </c>
      <c r="F586" t="s">
        <v>604</v>
      </c>
      <c r="G586" t="s">
        <v>22</v>
      </c>
      <c r="H586" t="s">
        <v>23</v>
      </c>
      <c r="I586" t="s">
        <v>75</v>
      </c>
      <c r="J586" t="s">
        <v>76</v>
      </c>
      <c r="K586" t="s">
        <v>49</v>
      </c>
      <c r="L586" t="s">
        <v>43</v>
      </c>
      <c r="M586" t="str">
        <f>INDEX( dim_segment!$A$2:$A$5,MATCH(L586,  dim_segment!$B$2:$B$5, 0))</f>
        <v>SEG004</v>
      </c>
      <c r="N586" t="s">
        <v>28</v>
      </c>
      <c r="O586" s="2">
        <v>4</v>
      </c>
      <c r="P586" s="2">
        <v>120000</v>
      </c>
      <c r="Q586">
        <v>0.12</v>
      </c>
      <c r="R586" s="2">
        <v>422400</v>
      </c>
    </row>
    <row r="587" spans="1:18" x14ac:dyDescent="0.25">
      <c r="A587" t="s">
        <v>670</v>
      </c>
      <c r="B587" s="1">
        <v>45633</v>
      </c>
      <c r="C587" s="1" t="s">
        <v>134</v>
      </c>
      <c r="D587" t="s">
        <v>116</v>
      </c>
      <c r="E587" t="s">
        <v>603</v>
      </c>
      <c r="F587" t="s">
        <v>604</v>
      </c>
      <c r="G587" t="s">
        <v>22</v>
      </c>
      <c r="H587" t="s">
        <v>23</v>
      </c>
      <c r="I587" t="s">
        <v>51</v>
      </c>
      <c r="J587" t="s">
        <v>52</v>
      </c>
      <c r="K587" t="s">
        <v>42</v>
      </c>
      <c r="L587" t="s">
        <v>23</v>
      </c>
      <c r="M587" t="str">
        <f>INDEX( dim_segment!$A$2:$A$5,MATCH(L587,  dim_segment!$B$2:$B$5, 0))</f>
        <v>SEG001</v>
      </c>
      <c r="N587" t="s">
        <v>33</v>
      </c>
      <c r="O587" s="2">
        <v>2</v>
      </c>
      <c r="P587" s="2">
        <v>150000</v>
      </c>
      <c r="Q587">
        <v>0.19</v>
      </c>
      <c r="R587" s="2">
        <v>243000</v>
      </c>
    </row>
    <row r="588" spans="1:18" x14ac:dyDescent="0.25">
      <c r="A588" t="s">
        <v>671</v>
      </c>
      <c r="B588" s="1">
        <v>45650</v>
      </c>
      <c r="C588" s="1" t="s">
        <v>134</v>
      </c>
      <c r="D588" t="s">
        <v>116</v>
      </c>
      <c r="E588" t="s">
        <v>603</v>
      </c>
      <c r="F588" t="s">
        <v>604</v>
      </c>
      <c r="G588" t="s">
        <v>22</v>
      </c>
      <c r="H588" t="s">
        <v>23</v>
      </c>
      <c r="I588" t="s">
        <v>47</v>
      </c>
      <c r="J588" t="s">
        <v>48</v>
      </c>
      <c r="K588" t="s">
        <v>49</v>
      </c>
      <c r="L588" t="s">
        <v>27</v>
      </c>
      <c r="M588" t="str">
        <f>INDEX( dim_segment!$A$2:$A$5,MATCH(L588,  dim_segment!$B$2:$B$5, 0))</f>
        <v>SEG002</v>
      </c>
      <c r="N588" t="s">
        <v>54</v>
      </c>
      <c r="O588" s="2">
        <v>4</v>
      </c>
      <c r="P588" s="2">
        <v>200000</v>
      </c>
      <c r="Q588">
        <v>7.0000000000000007E-2</v>
      </c>
      <c r="R588" s="2">
        <v>744000</v>
      </c>
    </row>
    <row r="589" spans="1:18" x14ac:dyDescent="0.25">
      <c r="A589" t="s">
        <v>672</v>
      </c>
      <c r="B589" s="1">
        <v>45302</v>
      </c>
      <c r="C589" s="1" t="s">
        <v>18</v>
      </c>
      <c r="D589" t="s">
        <v>19</v>
      </c>
      <c r="E589" t="s">
        <v>673</v>
      </c>
      <c r="F589" t="s">
        <v>674</v>
      </c>
      <c r="G589" t="s">
        <v>144</v>
      </c>
      <c r="H589" t="s">
        <v>23</v>
      </c>
      <c r="I589" t="s">
        <v>47</v>
      </c>
      <c r="J589" t="s">
        <v>48</v>
      </c>
      <c r="K589" t="s">
        <v>49</v>
      </c>
      <c r="L589" t="s">
        <v>23</v>
      </c>
      <c r="M589" t="str">
        <f>INDEX( dim_segment!$A$2:$A$5,MATCH(L589,  dim_segment!$B$2:$B$5, 0))</f>
        <v>SEG001</v>
      </c>
      <c r="N589" t="s">
        <v>37</v>
      </c>
      <c r="O589" s="2">
        <v>1</v>
      </c>
      <c r="P589" s="2">
        <v>200000</v>
      </c>
      <c r="Q589">
        <v>0.08</v>
      </c>
      <c r="R589" s="2">
        <v>184000</v>
      </c>
    </row>
    <row r="590" spans="1:18" x14ac:dyDescent="0.25">
      <c r="A590" t="s">
        <v>675</v>
      </c>
      <c r="B590" s="1">
        <v>45302</v>
      </c>
      <c r="C590" s="1" t="s">
        <v>18</v>
      </c>
      <c r="D590" t="s">
        <v>19</v>
      </c>
      <c r="E590" t="s">
        <v>673</v>
      </c>
      <c r="F590" t="s">
        <v>674</v>
      </c>
      <c r="G590" t="s">
        <v>144</v>
      </c>
      <c r="H590" t="s">
        <v>23</v>
      </c>
      <c r="I590" t="s">
        <v>51</v>
      </c>
      <c r="J590" t="s">
        <v>52</v>
      </c>
      <c r="K590" t="s">
        <v>42</v>
      </c>
      <c r="L590" t="s">
        <v>65</v>
      </c>
      <c r="M590" t="str">
        <f>INDEX( dim_segment!$A$2:$A$5,MATCH(L590,  dim_segment!$B$2:$B$5, 0))</f>
        <v>SEG003</v>
      </c>
      <c r="N590" t="s">
        <v>33</v>
      </c>
      <c r="O590" s="2">
        <v>2</v>
      </c>
      <c r="P590" s="2">
        <v>150000</v>
      </c>
      <c r="Q590">
        <v>0.18</v>
      </c>
      <c r="R590" s="2">
        <v>246000</v>
      </c>
    </row>
    <row r="591" spans="1:18" x14ac:dyDescent="0.25">
      <c r="A591" t="s">
        <v>676</v>
      </c>
      <c r="B591" s="1">
        <v>45294</v>
      </c>
      <c r="C591" s="1" t="s">
        <v>18</v>
      </c>
      <c r="D591" t="s">
        <v>19</v>
      </c>
      <c r="E591" t="s">
        <v>673</v>
      </c>
      <c r="F591" t="s">
        <v>674</v>
      </c>
      <c r="G591" t="s">
        <v>144</v>
      </c>
      <c r="H591" t="s">
        <v>23</v>
      </c>
      <c r="I591" t="s">
        <v>47</v>
      </c>
      <c r="J591" t="s">
        <v>48</v>
      </c>
      <c r="K591" t="s">
        <v>49</v>
      </c>
      <c r="L591" t="s">
        <v>43</v>
      </c>
      <c r="M591" t="str">
        <f>INDEX( dim_segment!$A$2:$A$5,MATCH(L591,  dim_segment!$B$2:$B$5, 0))</f>
        <v>SEG004</v>
      </c>
      <c r="N591" t="s">
        <v>54</v>
      </c>
      <c r="O591" s="2">
        <v>5</v>
      </c>
      <c r="P591" s="2">
        <v>200000</v>
      </c>
      <c r="Q591">
        <v>0.18</v>
      </c>
      <c r="R591" s="2">
        <v>820000</v>
      </c>
    </row>
    <row r="592" spans="1:18" x14ac:dyDescent="0.25">
      <c r="A592" t="s">
        <v>677</v>
      </c>
      <c r="B592" s="1">
        <v>45306</v>
      </c>
      <c r="C592" s="1" t="s">
        <v>18</v>
      </c>
      <c r="D592" t="s">
        <v>19</v>
      </c>
      <c r="E592" t="s">
        <v>673</v>
      </c>
      <c r="F592" t="s">
        <v>674</v>
      </c>
      <c r="G592" t="s">
        <v>144</v>
      </c>
      <c r="H592" t="s">
        <v>23</v>
      </c>
      <c r="I592" t="s">
        <v>47</v>
      </c>
      <c r="J592" t="s">
        <v>48</v>
      </c>
      <c r="K592" t="s">
        <v>49</v>
      </c>
      <c r="L592" t="s">
        <v>27</v>
      </c>
      <c r="M592" t="str">
        <f>INDEX( dim_segment!$A$2:$A$5,MATCH(L592,  dim_segment!$B$2:$B$5, 0))</f>
        <v>SEG002</v>
      </c>
      <c r="N592" t="s">
        <v>33</v>
      </c>
      <c r="O592" s="2">
        <v>5</v>
      </c>
      <c r="P592" s="2">
        <v>200000</v>
      </c>
      <c r="Q592">
        <v>0.1</v>
      </c>
      <c r="R592" s="2">
        <v>900000</v>
      </c>
    </row>
    <row r="593" spans="1:18" x14ac:dyDescent="0.25">
      <c r="A593" t="s">
        <v>678</v>
      </c>
      <c r="B593" s="1">
        <v>45307</v>
      </c>
      <c r="C593" s="1" t="s">
        <v>18</v>
      </c>
      <c r="D593" t="s">
        <v>19</v>
      </c>
      <c r="E593" t="s">
        <v>673</v>
      </c>
      <c r="F593" t="s">
        <v>674</v>
      </c>
      <c r="G593" t="s">
        <v>144</v>
      </c>
      <c r="H593" t="s">
        <v>23</v>
      </c>
      <c r="I593" t="s">
        <v>35</v>
      </c>
      <c r="J593" t="s">
        <v>36</v>
      </c>
      <c r="K593" t="s">
        <v>32</v>
      </c>
      <c r="L593" t="s">
        <v>65</v>
      </c>
      <c r="M593" t="str">
        <f>INDEX( dim_segment!$A$2:$A$5,MATCH(L593,  dim_segment!$B$2:$B$5, 0))</f>
        <v>SEG003</v>
      </c>
      <c r="N593" t="s">
        <v>37</v>
      </c>
      <c r="O593" s="2">
        <v>1</v>
      </c>
      <c r="P593" s="2">
        <v>45000</v>
      </c>
      <c r="Q593">
        <v>0.19</v>
      </c>
      <c r="R593" s="2">
        <v>36400</v>
      </c>
    </row>
    <row r="594" spans="1:18" x14ac:dyDescent="0.25">
      <c r="A594" t="s">
        <v>679</v>
      </c>
      <c r="B594" s="1">
        <v>45307</v>
      </c>
      <c r="C594" s="1" t="s">
        <v>18</v>
      </c>
      <c r="D594" t="s">
        <v>19</v>
      </c>
      <c r="E594" t="s">
        <v>673</v>
      </c>
      <c r="F594" t="s">
        <v>674</v>
      </c>
      <c r="G594" t="s">
        <v>144</v>
      </c>
      <c r="H594" t="s">
        <v>23</v>
      </c>
      <c r="I594" t="s">
        <v>60</v>
      </c>
      <c r="J594" t="s">
        <v>61</v>
      </c>
      <c r="K594" t="s">
        <v>26</v>
      </c>
      <c r="L594" t="s">
        <v>65</v>
      </c>
      <c r="M594" t="str">
        <f>INDEX( dim_segment!$A$2:$A$5,MATCH(L594,  dim_segment!$B$2:$B$5, 0))</f>
        <v>SEG003</v>
      </c>
      <c r="N594" t="s">
        <v>37</v>
      </c>
      <c r="O594" s="2">
        <v>3</v>
      </c>
      <c r="P594" s="2">
        <v>95000</v>
      </c>
      <c r="Q594">
        <v>0.12</v>
      </c>
      <c r="R594" s="2">
        <v>250800</v>
      </c>
    </row>
    <row r="595" spans="1:18" x14ac:dyDescent="0.25">
      <c r="A595" t="s">
        <v>680</v>
      </c>
      <c r="B595" s="1">
        <v>45330</v>
      </c>
      <c r="C595" s="1" t="s">
        <v>46</v>
      </c>
      <c r="D595" t="s">
        <v>19</v>
      </c>
      <c r="E595" t="s">
        <v>673</v>
      </c>
      <c r="F595" t="s">
        <v>674</v>
      </c>
      <c r="G595" t="s">
        <v>144</v>
      </c>
      <c r="H595" t="s">
        <v>23</v>
      </c>
      <c r="I595" t="s">
        <v>35</v>
      </c>
      <c r="J595" t="s">
        <v>36</v>
      </c>
      <c r="K595" t="s">
        <v>32</v>
      </c>
      <c r="L595" t="s">
        <v>27</v>
      </c>
      <c r="M595" t="str">
        <f>INDEX( dim_segment!$A$2:$A$5,MATCH(L595,  dim_segment!$B$2:$B$5, 0))</f>
        <v>SEG002</v>
      </c>
      <c r="N595" t="s">
        <v>33</v>
      </c>
      <c r="O595" s="2">
        <v>2</v>
      </c>
      <c r="P595" s="2">
        <v>45000</v>
      </c>
      <c r="Q595">
        <v>0.18</v>
      </c>
      <c r="R595" s="2">
        <v>73800</v>
      </c>
    </row>
    <row r="596" spans="1:18" x14ac:dyDescent="0.25">
      <c r="A596" t="s">
        <v>681</v>
      </c>
      <c r="B596" s="1">
        <v>45348</v>
      </c>
      <c r="C596" s="1" t="s">
        <v>46</v>
      </c>
      <c r="D596" t="s">
        <v>19</v>
      </c>
      <c r="E596" t="s">
        <v>673</v>
      </c>
      <c r="F596" t="s">
        <v>674</v>
      </c>
      <c r="G596" t="s">
        <v>144</v>
      </c>
      <c r="H596" t="s">
        <v>23</v>
      </c>
      <c r="I596" t="s">
        <v>24</v>
      </c>
      <c r="J596" t="s">
        <v>25</v>
      </c>
      <c r="K596" t="s">
        <v>26</v>
      </c>
      <c r="L596" t="s">
        <v>65</v>
      </c>
      <c r="M596" t="str">
        <f>INDEX( dim_segment!$A$2:$A$5,MATCH(L596,  dim_segment!$B$2:$B$5, 0))</f>
        <v>SEG003</v>
      </c>
      <c r="N596" t="s">
        <v>33</v>
      </c>
      <c r="O596" s="2">
        <v>3</v>
      </c>
      <c r="P596" s="2">
        <v>75000</v>
      </c>
      <c r="Q596">
        <v>7.0000000000000007E-2</v>
      </c>
      <c r="R596" s="2">
        <v>209200</v>
      </c>
    </row>
    <row r="597" spans="1:18" x14ac:dyDescent="0.25">
      <c r="A597" t="s">
        <v>682</v>
      </c>
      <c r="B597" s="1">
        <v>45334</v>
      </c>
      <c r="C597" s="1" t="s">
        <v>46</v>
      </c>
      <c r="D597" t="s">
        <v>19</v>
      </c>
      <c r="E597" t="s">
        <v>673</v>
      </c>
      <c r="F597" t="s">
        <v>674</v>
      </c>
      <c r="G597" t="s">
        <v>144</v>
      </c>
      <c r="H597" t="s">
        <v>23</v>
      </c>
      <c r="I597" t="s">
        <v>75</v>
      </c>
      <c r="J597" t="s">
        <v>76</v>
      </c>
      <c r="K597" t="s">
        <v>49</v>
      </c>
      <c r="L597" t="s">
        <v>23</v>
      </c>
      <c r="M597" t="str">
        <f>INDEX( dim_segment!$A$2:$A$5,MATCH(L597,  dim_segment!$B$2:$B$5, 0))</f>
        <v>SEG001</v>
      </c>
      <c r="N597" t="s">
        <v>37</v>
      </c>
      <c r="O597" s="2">
        <v>2</v>
      </c>
      <c r="P597" s="2">
        <v>120000</v>
      </c>
      <c r="Q597">
        <v>0.05</v>
      </c>
      <c r="R597" s="2">
        <v>228000</v>
      </c>
    </row>
    <row r="598" spans="1:18" x14ac:dyDescent="0.25">
      <c r="A598" t="s">
        <v>683</v>
      </c>
      <c r="B598" s="1">
        <v>45348</v>
      </c>
      <c r="C598" s="1" t="s">
        <v>46</v>
      </c>
      <c r="D598" t="s">
        <v>19</v>
      </c>
      <c r="E598" t="s">
        <v>673</v>
      </c>
      <c r="F598" t="s">
        <v>674</v>
      </c>
      <c r="G598" t="s">
        <v>144</v>
      </c>
      <c r="H598" t="s">
        <v>23</v>
      </c>
      <c r="I598" t="s">
        <v>40</v>
      </c>
      <c r="J598" t="s">
        <v>41</v>
      </c>
      <c r="K598" t="s">
        <v>42</v>
      </c>
      <c r="L598" t="s">
        <v>43</v>
      </c>
      <c r="M598" t="str">
        <f>INDEX( dim_segment!$A$2:$A$5,MATCH(L598,  dim_segment!$B$2:$B$5, 0))</f>
        <v>SEG004</v>
      </c>
      <c r="N598" t="s">
        <v>54</v>
      </c>
      <c r="O598" s="2">
        <v>2</v>
      </c>
      <c r="P598" s="2">
        <v>85000</v>
      </c>
      <c r="Q598">
        <v>0.17</v>
      </c>
      <c r="R598" s="2">
        <v>141100</v>
      </c>
    </row>
    <row r="599" spans="1:18" x14ac:dyDescent="0.25">
      <c r="A599" t="s">
        <v>684</v>
      </c>
      <c r="B599" s="1">
        <v>45324</v>
      </c>
      <c r="C599" s="1" t="s">
        <v>46</v>
      </c>
      <c r="D599" t="s">
        <v>19</v>
      </c>
      <c r="E599" t="s">
        <v>673</v>
      </c>
      <c r="F599" t="s">
        <v>674</v>
      </c>
      <c r="G599" t="s">
        <v>144</v>
      </c>
      <c r="H599" t="s">
        <v>23</v>
      </c>
      <c r="I599" t="s">
        <v>30</v>
      </c>
      <c r="J599" t="s">
        <v>31</v>
      </c>
      <c r="K599" t="s">
        <v>32</v>
      </c>
      <c r="L599" t="s">
        <v>27</v>
      </c>
      <c r="M599" t="str">
        <f>INDEX( dim_segment!$A$2:$A$5,MATCH(L599,  dim_segment!$B$2:$B$5, 0))</f>
        <v>SEG002</v>
      </c>
      <c r="N599" t="s">
        <v>28</v>
      </c>
      <c r="O599" s="2">
        <v>2</v>
      </c>
      <c r="P599" s="2">
        <v>60000</v>
      </c>
      <c r="Q599">
        <v>0.05</v>
      </c>
      <c r="R599" s="2">
        <v>114000</v>
      </c>
    </row>
    <row r="600" spans="1:18" x14ac:dyDescent="0.25">
      <c r="A600" t="s">
        <v>685</v>
      </c>
      <c r="B600" s="1">
        <v>45346</v>
      </c>
      <c r="C600" s="1" t="s">
        <v>46</v>
      </c>
      <c r="D600" t="s">
        <v>19</v>
      </c>
      <c r="E600" t="s">
        <v>673</v>
      </c>
      <c r="F600" t="s">
        <v>674</v>
      </c>
      <c r="G600" t="s">
        <v>144</v>
      </c>
      <c r="H600" t="s">
        <v>23</v>
      </c>
      <c r="I600" t="s">
        <v>24</v>
      </c>
      <c r="J600" t="s">
        <v>25</v>
      </c>
      <c r="K600" t="s">
        <v>26</v>
      </c>
      <c r="L600" t="s">
        <v>23</v>
      </c>
      <c r="M600" t="str">
        <f>INDEX( dim_segment!$A$2:$A$5,MATCH(L600,  dim_segment!$B$2:$B$5, 0))</f>
        <v>SEG001</v>
      </c>
      <c r="N600" t="s">
        <v>37</v>
      </c>
      <c r="O600" s="2">
        <v>1</v>
      </c>
      <c r="P600" s="2">
        <v>75000</v>
      </c>
      <c r="Q600">
        <v>7.0000000000000007E-2</v>
      </c>
      <c r="R600" s="2">
        <v>69800</v>
      </c>
    </row>
    <row r="601" spans="1:18" x14ac:dyDescent="0.25">
      <c r="A601" t="s">
        <v>686</v>
      </c>
      <c r="B601" s="1">
        <v>45325</v>
      </c>
      <c r="C601" s="1" t="s">
        <v>46</v>
      </c>
      <c r="D601" t="s">
        <v>19</v>
      </c>
      <c r="E601" t="s">
        <v>673</v>
      </c>
      <c r="F601" t="s">
        <v>674</v>
      </c>
      <c r="G601" t="s">
        <v>144</v>
      </c>
      <c r="H601" t="s">
        <v>23</v>
      </c>
      <c r="I601" t="s">
        <v>60</v>
      </c>
      <c r="J601" t="s">
        <v>61</v>
      </c>
      <c r="K601" t="s">
        <v>26</v>
      </c>
      <c r="L601" t="s">
        <v>27</v>
      </c>
      <c r="M601" t="str">
        <f>INDEX( dim_segment!$A$2:$A$5,MATCH(L601,  dim_segment!$B$2:$B$5, 0))</f>
        <v>SEG002</v>
      </c>
      <c r="N601" t="s">
        <v>28</v>
      </c>
      <c r="O601" s="2">
        <v>5</v>
      </c>
      <c r="P601" s="2">
        <v>95000</v>
      </c>
      <c r="Q601">
        <v>0.1</v>
      </c>
      <c r="R601" s="2">
        <v>427500</v>
      </c>
    </row>
    <row r="602" spans="1:18" x14ac:dyDescent="0.25">
      <c r="A602" t="s">
        <v>687</v>
      </c>
      <c r="B602" s="1">
        <v>45324</v>
      </c>
      <c r="C602" s="1" t="s">
        <v>46</v>
      </c>
      <c r="D602" t="s">
        <v>19</v>
      </c>
      <c r="E602" t="s">
        <v>673</v>
      </c>
      <c r="F602" t="s">
        <v>674</v>
      </c>
      <c r="G602" t="s">
        <v>144</v>
      </c>
      <c r="H602" t="s">
        <v>23</v>
      </c>
      <c r="I602" t="s">
        <v>24</v>
      </c>
      <c r="J602" t="s">
        <v>25</v>
      </c>
      <c r="K602" t="s">
        <v>26</v>
      </c>
      <c r="L602" t="s">
        <v>65</v>
      </c>
      <c r="M602" t="str">
        <f>INDEX( dim_segment!$A$2:$A$5,MATCH(L602,  dim_segment!$B$2:$B$5, 0))</f>
        <v>SEG003</v>
      </c>
      <c r="N602" t="s">
        <v>28</v>
      </c>
      <c r="O602" s="2">
        <v>3</v>
      </c>
      <c r="P602" s="2">
        <v>75000</v>
      </c>
      <c r="Q602">
        <v>0.05</v>
      </c>
      <c r="R602" s="2">
        <v>213800</v>
      </c>
    </row>
    <row r="603" spans="1:18" x14ac:dyDescent="0.25">
      <c r="A603" t="s">
        <v>688</v>
      </c>
      <c r="B603" s="1">
        <v>45369</v>
      </c>
      <c r="C603" s="1" t="s">
        <v>56</v>
      </c>
      <c r="D603" t="s">
        <v>19</v>
      </c>
      <c r="E603" t="s">
        <v>673</v>
      </c>
      <c r="F603" t="s">
        <v>674</v>
      </c>
      <c r="G603" t="s">
        <v>144</v>
      </c>
      <c r="H603" t="s">
        <v>23</v>
      </c>
      <c r="I603" t="s">
        <v>75</v>
      </c>
      <c r="J603" t="s">
        <v>76</v>
      </c>
      <c r="K603" t="s">
        <v>49</v>
      </c>
      <c r="L603" t="s">
        <v>23</v>
      </c>
      <c r="M603" t="str">
        <f>INDEX( dim_segment!$A$2:$A$5,MATCH(L603,  dim_segment!$B$2:$B$5, 0))</f>
        <v>SEG001</v>
      </c>
      <c r="N603" t="s">
        <v>33</v>
      </c>
      <c r="O603" s="2">
        <v>4</v>
      </c>
      <c r="P603" s="2">
        <v>120000</v>
      </c>
      <c r="Q603">
        <v>0.12</v>
      </c>
      <c r="R603" s="2">
        <v>422400</v>
      </c>
    </row>
    <row r="604" spans="1:18" x14ac:dyDescent="0.25">
      <c r="A604" t="s">
        <v>689</v>
      </c>
      <c r="B604" s="1">
        <v>45373</v>
      </c>
      <c r="C604" s="1" t="s">
        <v>56</v>
      </c>
      <c r="D604" t="s">
        <v>19</v>
      </c>
      <c r="E604" t="s">
        <v>673</v>
      </c>
      <c r="F604" t="s">
        <v>674</v>
      </c>
      <c r="G604" t="s">
        <v>144</v>
      </c>
      <c r="H604" t="s">
        <v>23</v>
      </c>
      <c r="I604" t="s">
        <v>24</v>
      </c>
      <c r="J604" t="s">
        <v>25</v>
      </c>
      <c r="K604" t="s">
        <v>26</v>
      </c>
      <c r="L604" t="s">
        <v>43</v>
      </c>
      <c r="M604" t="str">
        <f>INDEX( dim_segment!$A$2:$A$5,MATCH(L604,  dim_segment!$B$2:$B$5, 0))</f>
        <v>SEG004</v>
      </c>
      <c r="N604" t="s">
        <v>28</v>
      </c>
      <c r="O604" s="2">
        <v>5</v>
      </c>
      <c r="P604" s="2">
        <v>75000</v>
      </c>
      <c r="Q604">
        <v>0.08</v>
      </c>
      <c r="R604" s="2">
        <v>345000</v>
      </c>
    </row>
    <row r="605" spans="1:18" x14ac:dyDescent="0.25">
      <c r="A605" t="s">
        <v>690</v>
      </c>
      <c r="B605" s="1">
        <v>45361</v>
      </c>
      <c r="C605" s="1" t="s">
        <v>56</v>
      </c>
      <c r="D605" t="s">
        <v>19</v>
      </c>
      <c r="E605" t="s">
        <v>673</v>
      </c>
      <c r="F605" t="s">
        <v>674</v>
      </c>
      <c r="G605" t="s">
        <v>144</v>
      </c>
      <c r="H605" t="s">
        <v>23</v>
      </c>
      <c r="I605" t="s">
        <v>47</v>
      </c>
      <c r="J605" t="s">
        <v>48</v>
      </c>
      <c r="K605" t="s">
        <v>49</v>
      </c>
      <c r="L605" t="s">
        <v>65</v>
      </c>
      <c r="M605" t="str">
        <f>INDEX( dim_segment!$A$2:$A$5,MATCH(L605,  dim_segment!$B$2:$B$5, 0))</f>
        <v>SEG003</v>
      </c>
      <c r="N605" t="s">
        <v>37</v>
      </c>
      <c r="O605" s="2">
        <v>2</v>
      </c>
      <c r="P605" s="2">
        <v>200000</v>
      </c>
      <c r="Q605">
        <v>0.09</v>
      </c>
      <c r="R605" s="2">
        <v>364000</v>
      </c>
    </row>
    <row r="606" spans="1:18" x14ac:dyDescent="0.25">
      <c r="A606" t="s">
        <v>691</v>
      </c>
      <c r="B606" s="1">
        <v>45377</v>
      </c>
      <c r="C606" s="1" t="s">
        <v>56</v>
      </c>
      <c r="D606" t="s">
        <v>19</v>
      </c>
      <c r="E606" t="s">
        <v>673</v>
      </c>
      <c r="F606" t="s">
        <v>674</v>
      </c>
      <c r="G606" t="s">
        <v>144</v>
      </c>
      <c r="H606" t="s">
        <v>23</v>
      </c>
      <c r="I606" t="s">
        <v>35</v>
      </c>
      <c r="J606" t="s">
        <v>36</v>
      </c>
      <c r="K606" t="s">
        <v>32</v>
      </c>
      <c r="L606" t="s">
        <v>43</v>
      </c>
      <c r="M606" t="str">
        <f>INDEX( dim_segment!$A$2:$A$5,MATCH(L606,  dim_segment!$B$2:$B$5, 0))</f>
        <v>SEG004</v>
      </c>
      <c r="N606" t="s">
        <v>33</v>
      </c>
      <c r="O606" s="2">
        <v>5</v>
      </c>
      <c r="P606" s="2">
        <v>45000</v>
      </c>
      <c r="Q606">
        <v>0.14000000000000001</v>
      </c>
      <c r="R606" s="2">
        <v>193500</v>
      </c>
    </row>
    <row r="607" spans="1:18" x14ac:dyDescent="0.25">
      <c r="A607" t="s">
        <v>692</v>
      </c>
      <c r="B607" s="1">
        <v>45370</v>
      </c>
      <c r="C607" s="1" t="s">
        <v>56</v>
      </c>
      <c r="D607" t="s">
        <v>19</v>
      </c>
      <c r="E607" t="s">
        <v>673</v>
      </c>
      <c r="F607" t="s">
        <v>674</v>
      </c>
      <c r="G607" t="s">
        <v>144</v>
      </c>
      <c r="H607" t="s">
        <v>23</v>
      </c>
      <c r="I607" t="s">
        <v>30</v>
      </c>
      <c r="J607" t="s">
        <v>31</v>
      </c>
      <c r="K607" t="s">
        <v>32</v>
      </c>
      <c r="L607" t="s">
        <v>23</v>
      </c>
      <c r="M607" t="str">
        <f>INDEX( dim_segment!$A$2:$A$5,MATCH(L607,  dim_segment!$B$2:$B$5, 0))</f>
        <v>SEG001</v>
      </c>
      <c r="N607" t="s">
        <v>37</v>
      </c>
      <c r="O607" s="2">
        <v>1</v>
      </c>
      <c r="P607" s="2">
        <v>60000</v>
      </c>
      <c r="Q607">
        <v>0.19</v>
      </c>
      <c r="R607" s="2">
        <v>48600</v>
      </c>
    </row>
    <row r="608" spans="1:18" x14ac:dyDescent="0.25">
      <c r="A608" t="s">
        <v>693</v>
      </c>
      <c r="B608" s="1">
        <v>45359</v>
      </c>
      <c r="C608" s="1" t="s">
        <v>56</v>
      </c>
      <c r="D608" t="s">
        <v>19</v>
      </c>
      <c r="E608" t="s">
        <v>673</v>
      </c>
      <c r="F608" t="s">
        <v>674</v>
      </c>
      <c r="G608" t="s">
        <v>144</v>
      </c>
      <c r="H608" t="s">
        <v>23</v>
      </c>
      <c r="I608" t="s">
        <v>75</v>
      </c>
      <c r="J608" t="s">
        <v>76</v>
      </c>
      <c r="K608" t="s">
        <v>49</v>
      </c>
      <c r="L608" t="s">
        <v>27</v>
      </c>
      <c r="M608" t="str">
        <f>INDEX( dim_segment!$A$2:$A$5,MATCH(L608,  dim_segment!$B$2:$B$5, 0))</f>
        <v>SEG002</v>
      </c>
      <c r="N608" t="s">
        <v>28</v>
      </c>
      <c r="O608" s="2">
        <v>2</v>
      </c>
      <c r="P608" s="2">
        <v>120000</v>
      </c>
      <c r="Q608">
        <v>0.1</v>
      </c>
      <c r="R608" s="2">
        <v>216000</v>
      </c>
    </row>
    <row r="609" spans="1:18" x14ac:dyDescent="0.25">
      <c r="A609" t="s">
        <v>694</v>
      </c>
      <c r="B609" s="1">
        <v>45407</v>
      </c>
      <c r="C609" s="1" t="s">
        <v>67</v>
      </c>
      <c r="D609" t="s">
        <v>68</v>
      </c>
      <c r="E609" t="s">
        <v>673</v>
      </c>
      <c r="F609" t="s">
        <v>674</v>
      </c>
      <c r="G609" t="s">
        <v>144</v>
      </c>
      <c r="H609" t="s">
        <v>23</v>
      </c>
      <c r="I609" t="s">
        <v>47</v>
      </c>
      <c r="J609" t="s">
        <v>48</v>
      </c>
      <c r="K609" t="s">
        <v>49</v>
      </c>
      <c r="L609" t="s">
        <v>23</v>
      </c>
      <c r="M609" t="str">
        <f>INDEX( dim_segment!$A$2:$A$5,MATCH(L609,  dim_segment!$B$2:$B$5, 0))</f>
        <v>SEG001</v>
      </c>
      <c r="N609" t="s">
        <v>33</v>
      </c>
      <c r="O609" s="2">
        <v>2</v>
      </c>
      <c r="P609" s="2">
        <v>200000</v>
      </c>
      <c r="Q609">
        <v>0.16</v>
      </c>
      <c r="R609" s="2">
        <v>336000</v>
      </c>
    </row>
    <row r="610" spans="1:18" x14ac:dyDescent="0.25">
      <c r="A610" t="s">
        <v>695</v>
      </c>
      <c r="B610" s="1">
        <v>45383</v>
      </c>
      <c r="C610" s="1" t="s">
        <v>67</v>
      </c>
      <c r="D610" t="s">
        <v>68</v>
      </c>
      <c r="E610" t="s">
        <v>673</v>
      </c>
      <c r="F610" t="s">
        <v>674</v>
      </c>
      <c r="G610" t="s">
        <v>144</v>
      </c>
      <c r="H610" t="s">
        <v>23</v>
      </c>
      <c r="I610" t="s">
        <v>47</v>
      </c>
      <c r="J610" t="s">
        <v>48</v>
      </c>
      <c r="K610" t="s">
        <v>49</v>
      </c>
      <c r="L610" t="s">
        <v>27</v>
      </c>
      <c r="M610" t="str">
        <f>INDEX( dim_segment!$A$2:$A$5,MATCH(L610,  dim_segment!$B$2:$B$5, 0))</f>
        <v>SEG002</v>
      </c>
      <c r="N610" t="s">
        <v>28</v>
      </c>
      <c r="O610" s="2">
        <v>5</v>
      </c>
      <c r="P610" s="2">
        <v>200000</v>
      </c>
      <c r="Q610">
        <v>0.08</v>
      </c>
      <c r="R610" s="2">
        <v>920000</v>
      </c>
    </row>
    <row r="611" spans="1:18" x14ac:dyDescent="0.25">
      <c r="A611" t="s">
        <v>696</v>
      </c>
      <c r="B611" s="1">
        <v>45403</v>
      </c>
      <c r="C611" s="1" t="s">
        <v>67</v>
      </c>
      <c r="D611" t="s">
        <v>68</v>
      </c>
      <c r="E611" t="s">
        <v>673</v>
      </c>
      <c r="F611" t="s">
        <v>674</v>
      </c>
      <c r="G611" t="s">
        <v>144</v>
      </c>
      <c r="H611" t="s">
        <v>23</v>
      </c>
      <c r="I611" t="s">
        <v>35</v>
      </c>
      <c r="J611" t="s">
        <v>36</v>
      </c>
      <c r="K611" t="s">
        <v>32</v>
      </c>
      <c r="L611" t="s">
        <v>65</v>
      </c>
      <c r="M611" t="str">
        <f>INDEX( dim_segment!$A$2:$A$5,MATCH(L611,  dim_segment!$B$2:$B$5, 0))</f>
        <v>SEG003</v>
      </c>
      <c r="N611" t="s">
        <v>28</v>
      </c>
      <c r="O611" s="2">
        <v>4</v>
      </c>
      <c r="P611" s="2">
        <v>45000</v>
      </c>
      <c r="Q611">
        <v>0.15</v>
      </c>
      <c r="R611" s="2">
        <v>153000</v>
      </c>
    </row>
    <row r="612" spans="1:18" x14ac:dyDescent="0.25">
      <c r="A612" t="s">
        <v>697</v>
      </c>
      <c r="B612" s="1">
        <v>45400</v>
      </c>
      <c r="C612" s="1" t="s">
        <v>67</v>
      </c>
      <c r="D612" t="s">
        <v>68</v>
      </c>
      <c r="E612" t="s">
        <v>673</v>
      </c>
      <c r="F612" t="s">
        <v>674</v>
      </c>
      <c r="G612" t="s">
        <v>144</v>
      </c>
      <c r="H612" t="s">
        <v>23</v>
      </c>
      <c r="I612" t="s">
        <v>30</v>
      </c>
      <c r="J612" t="s">
        <v>31</v>
      </c>
      <c r="K612" t="s">
        <v>32</v>
      </c>
      <c r="L612" t="s">
        <v>27</v>
      </c>
      <c r="M612" t="str">
        <f>INDEX( dim_segment!$A$2:$A$5,MATCH(L612,  dim_segment!$B$2:$B$5, 0))</f>
        <v>SEG002</v>
      </c>
      <c r="N612" t="s">
        <v>37</v>
      </c>
      <c r="O612" s="2">
        <v>3</v>
      </c>
      <c r="P612" s="2">
        <v>60000</v>
      </c>
      <c r="Q612">
        <v>7.0000000000000007E-2</v>
      </c>
      <c r="R612" s="2">
        <v>167400</v>
      </c>
    </row>
    <row r="613" spans="1:18" x14ac:dyDescent="0.25">
      <c r="A613" t="s">
        <v>698</v>
      </c>
      <c r="B613" s="1">
        <v>45389</v>
      </c>
      <c r="C613" s="1" t="s">
        <v>67</v>
      </c>
      <c r="D613" t="s">
        <v>68</v>
      </c>
      <c r="E613" t="s">
        <v>673</v>
      </c>
      <c r="F613" t="s">
        <v>674</v>
      </c>
      <c r="G613" t="s">
        <v>144</v>
      </c>
      <c r="H613" t="s">
        <v>23</v>
      </c>
      <c r="I613" t="s">
        <v>75</v>
      </c>
      <c r="J613" t="s">
        <v>76</v>
      </c>
      <c r="K613" t="s">
        <v>49</v>
      </c>
      <c r="L613" t="s">
        <v>65</v>
      </c>
      <c r="M613" t="str">
        <f>INDEX( dim_segment!$A$2:$A$5,MATCH(L613,  dim_segment!$B$2:$B$5, 0))</f>
        <v>SEG003</v>
      </c>
      <c r="N613" t="s">
        <v>37</v>
      </c>
      <c r="O613" s="2">
        <v>5</v>
      </c>
      <c r="P613" s="2">
        <v>120000</v>
      </c>
      <c r="Q613">
        <v>0.16</v>
      </c>
      <c r="R613" s="2">
        <v>504000</v>
      </c>
    </row>
    <row r="614" spans="1:18" x14ac:dyDescent="0.25">
      <c r="A614" t="s">
        <v>699</v>
      </c>
      <c r="B614" s="1">
        <v>45386</v>
      </c>
      <c r="C614" s="1" t="s">
        <v>67</v>
      </c>
      <c r="D614" t="s">
        <v>68</v>
      </c>
      <c r="E614" t="s">
        <v>673</v>
      </c>
      <c r="F614" t="s">
        <v>674</v>
      </c>
      <c r="G614" t="s">
        <v>144</v>
      </c>
      <c r="H614" t="s">
        <v>23</v>
      </c>
      <c r="I614" t="s">
        <v>60</v>
      </c>
      <c r="J614" t="s">
        <v>61</v>
      </c>
      <c r="K614" t="s">
        <v>26</v>
      </c>
      <c r="L614" t="s">
        <v>65</v>
      </c>
      <c r="M614" t="str">
        <f>INDEX( dim_segment!$A$2:$A$5,MATCH(L614,  dim_segment!$B$2:$B$5, 0))</f>
        <v>SEG003</v>
      </c>
      <c r="N614" t="s">
        <v>54</v>
      </c>
      <c r="O614" s="2">
        <v>4</v>
      </c>
      <c r="P614" s="2">
        <v>95000</v>
      </c>
      <c r="Q614">
        <v>0.13</v>
      </c>
      <c r="R614" s="2">
        <v>330600</v>
      </c>
    </row>
    <row r="615" spans="1:18" x14ac:dyDescent="0.25">
      <c r="A615" t="s">
        <v>700</v>
      </c>
      <c r="B615" s="1">
        <v>45389</v>
      </c>
      <c r="C615" s="1" t="s">
        <v>67</v>
      </c>
      <c r="D615" t="s">
        <v>68</v>
      </c>
      <c r="E615" t="s">
        <v>673</v>
      </c>
      <c r="F615" t="s">
        <v>674</v>
      </c>
      <c r="G615" t="s">
        <v>144</v>
      </c>
      <c r="H615" t="s">
        <v>23</v>
      </c>
      <c r="I615" t="s">
        <v>24</v>
      </c>
      <c r="J615" t="s">
        <v>25</v>
      </c>
      <c r="K615" t="s">
        <v>26</v>
      </c>
      <c r="L615" t="s">
        <v>65</v>
      </c>
      <c r="M615" t="str">
        <f>INDEX( dim_segment!$A$2:$A$5,MATCH(L615,  dim_segment!$B$2:$B$5, 0))</f>
        <v>SEG003</v>
      </c>
      <c r="N615" t="s">
        <v>28</v>
      </c>
      <c r="O615" s="2">
        <v>4</v>
      </c>
      <c r="P615" s="2">
        <v>75000</v>
      </c>
      <c r="Q615">
        <v>0.2</v>
      </c>
      <c r="R615" s="2">
        <v>240000</v>
      </c>
    </row>
    <row r="616" spans="1:18" x14ac:dyDescent="0.25">
      <c r="A616" t="s">
        <v>701</v>
      </c>
      <c r="B616" s="1">
        <v>45404</v>
      </c>
      <c r="C616" s="1" t="s">
        <v>67</v>
      </c>
      <c r="D616" t="s">
        <v>68</v>
      </c>
      <c r="E616" t="s">
        <v>673</v>
      </c>
      <c r="F616" t="s">
        <v>674</v>
      </c>
      <c r="G616" t="s">
        <v>144</v>
      </c>
      <c r="H616" t="s">
        <v>23</v>
      </c>
      <c r="I616" t="s">
        <v>40</v>
      </c>
      <c r="J616" t="s">
        <v>41</v>
      </c>
      <c r="K616" t="s">
        <v>42</v>
      </c>
      <c r="L616" t="s">
        <v>23</v>
      </c>
      <c r="M616" t="str">
        <f>INDEX( dim_segment!$A$2:$A$5,MATCH(L616,  dim_segment!$B$2:$B$5, 0))</f>
        <v>SEG001</v>
      </c>
      <c r="N616" t="s">
        <v>37</v>
      </c>
      <c r="O616" s="2">
        <v>4</v>
      </c>
      <c r="P616" s="2">
        <v>85000</v>
      </c>
      <c r="Q616">
        <v>0.14000000000000001</v>
      </c>
      <c r="R616" s="2">
        <v>292400</v>
      </c>
    </row>
    <row r="617" spans="1:18" x14ac:dyDescent="0.25">
      <c r="A617" t="s">
        <v>702</v>
      </c>
      <c r="B617" s="1">
        <v>45438</v>
      </c>
      <c r="C617" s="1" t="s">
        <v>78</v>
      </c>
      <c r="D617" t="s">
        <v>68</v>
      </c>
      <c r="E617" t="s">
        <v>673</v>
      </c>
      <c r="F617" t="s">
        <v>674</v>
      </c>
      <c r="G617" t="s">
        <v>144</v>
      </c>
      <c r="H617" t="s">
        <v>23</v>
      </c>
      <c r="I617" t="s">
        <v>35</v>
      </c>
      <c r="J617" t="s">
        <v>36</v>
      </c>
      <c r="K617" t="s">
        <v>32</v>
      </c>
      <c r="L617" t="s">
        <v>65</v>
      </c>
      <c r="M617" t="str">
        <f>INDEX( dim_segment!$A$2:$A$5,MATCH(L617,  dim_segment!$B$2:$B$5, 0))</f>
        <v>SEG003</v>
      </c>
      <c r="N617" t="s">
        <v>37</v>
      </c>
      <c r="O617" s="2">
        <v>1</v>
      </c>
      <c r="P617" s="2">
        <v>45000</v>
      </c>
      <c r="Q617">
        <v>0.15</v>
      </c>
      <c r="R617" s="2">
        <v>38200</v>
      </c>
    </row>
    <row r="618" spans="1:18" x14ac:dyDescent="0.25">
      <c r="A618" t="s">
        <v>703</v>
      </c>
      <c r="B618" s="1">
        <v>45424</v>
      </c>
      <c r="C618" s="1" t="s">
        <v>78</v>
      </c>
      <c r="D618" t="s">
        <v>68</v>
      </c>
      <c r="E618" t="s">
        <v>673</v>
      </c>
      <c r="F618" t="s">
        <v>674</v>
      </c>
      <c r="G618" t="s">
        <v>144</v>
      </c>
      <c r="H618" t="s">
        <v>23</v>
      </c>
      <c r="I618" t="s">
        <v>35</v>
      </c>
      <c r="J618" t="s">
        <v>36</v>
      </c>
      <c r="K618" t="s">
        <v>32</v>
      </c>
      <c r="L618" t="s">
        <v>43</v>
      </c>
      <c r="M618" t="str">
        <f>INDEX( dim_segment!$A$2:$A$5,MATCH(L618,  dim_segment!$B$2:$B$5, 0))</f>
        <v>SEG004</v>
      </c>
      <c r="N618" t="s">
        <v>28</v>
      </c>
      <c r="O618" s="2">
        <v>4</v>
      </c>
      <c r="P618" s="2">
        <v>45000</v>
      </c>
      <c r="Q618">
        <v>0.19</v>
      </c>
      <c r="R618" s="2">
        <v>145800</v>
      </c>
    </row>
    <row r="619" spans="1:18" x14ac:dyDescent="0.25">
      <c r="A619" t="s">
        <v>704</v>
      </c>
      <c r="B619" s="1">
        <v>45421</v>
      </c>
      <c r="C619" s="1" t="s">
        <v>78</v>
      </c>
      <c r="D619" t="s">
        <v>68</v>
      </c>
      <c r="E619" t="s">
        <v>673</v>
      </c>
      <c r="F619" t="s">
        <v>674</v>
      </c>
      <c r="G619" t="s">
        <v>144</v>
      </c>
      <c r="H619" t="s">
        <v>23</v>
      </c>
      <c r="I619" t="s">
        <v>60</v>
      </c>
      <c r="J619" t="s">
        <v>61</v>
      </c>
      <c r="K619" t="s">
        <v>26</v>
      </c>
      <c r="L619" t="s">
        <v>27</v>
      </c>
      <c r="M619" t="str">
        <f>INDEX( dim_segment!$A$2:$A$5,MATCH(L619,  dim_segment!$B$2:$B$5, 0))</f>
        <v>SEG002</v>
      </c>
      <c r="N619" t="s">
        <v>37</v>
      </c>
      <c r="O619" s="2">
        <v>2</v>
      </c>
      <c r="P619" s="2">
        <v>95000</v>
      </c>
      <c r="Q619">
        <v>0.06</v>
      </c>
      <c r="R619" s="2">
        <v>178600</v>
      </c>
    </row>
    <row r="620" spans="1:18" x14ac:dyDescent="0.25">
      <c r="A620" t="s">
        <v>705</v>
      </c>
      <c r="B620" s="1">
        <v>45413</v>
      </c>
      <c r="C620" s="1" t="s">
        <v>78</v>
      </c>
      <c r="D620" t="s">
        <v>68</v>
      </c>
      <c r="E620" t="s">
        <v>673</v>
      </c>
      <c r="F620" t="s">
        <v>674</v>
      </c>
      <c r="G620" t="s">
        <v>144</v>
      </c>
      <c r="H620" t="s">
        <v>23</v>
      </c>
      <c r="I620" t="s">
        <v>30</v>
      </c>
      <c r="J620" t="s">
        <v>31</v>
      </c>
      <c r="K620" t="s">
        <v>32</v>
      </c>
      <c r="L620" t="s">
        <v>27</v>
      </c>
      <c r="M620" t="str">
        <f>INDEX( dim_segment!$A$2:$A$5,MATCH(L620,  dim_segment!$B$2:$B$5, 0))</f>
        <v>SEG002</v>
      </c>
      <c r="N620" t="s">
        <v>28</v>
      </c>
      <c r="O620" s="2">
        <v>2</v>
      </c>
      <c r="P620" s="2">
        <v>60000</v>
      </c>
      <c r="Q620">
        <v>0.19</v>
      </c>
      <c r="R620" s="2">
        <v>97200</v>
      </c>
    </row>
    <row r="621" spans="1:18" x14ac:dyDescent="0.25">
      <c r="A621" t="s">
        <v>706</v>
      </c>
      <c r="B621" s="1">
        <v>45415</v>
      </c>
      <c r="C621" s="1" t="s">
        <v>78</v>
      </c>
      <c r="D621" t="s">
        <v>68</v>
      </c>
      <c r="E621" t="s">
        <v>673</v>
      </c>
      <c r="F621" t="s">
        <v>674</v>
      </c>
      <c r="G621" t="s">
        <v>144</v>
      </c>
      <c r="H621" t="s">
        <v>23</v>
      </c>
      <c r="I621" t="s">
        <v>35</v>
      </c>
      <c r="J621" t="s">
        <v>36</v>
      </c>
      <c r="K621" t="s">
        <v>32</v>
      </c>
      <c r="L621" t="s">
        <v>43</v>
      </c>
      <c r="M621" t="str">
        <f>INDEX( dim_segment!$A$2:$A$5,MATCH(L621,  dim_segment!$B$2:$B$5, 0))</f>
        <v>SEG004</v>
      </c>
      <c r="N621" t="s">
        <v>37</v>
      </c>
      <c r="O621" s="2">
        <v>3</v>
      </c>
      <c r="P621" s="2">
        <v>45000</v>
      </c>
      <c r="Q621">
        <v>0.17</v>
      </c>
      <c r="R621" s="2">
        <v>112000</v>
      </c>
    </row>
    <row r="622" spans="1:18" x14ac:dyDescent="0.25">
      <c r="A622" t="s">
        <v>707</v>
      </c>
      <c r="B622" s="1">
        <v>45458</v>
      </c>
      <c r="C622" s="1" t="s">
        <v>84</v>
      </c>
      <c r="D622" t="s">
        <v>68</v>
      </c>
      <c r="E622" t="s">
        <v>673</v>
      </c>
      <c r="F622" t="s">
        <v>674</v>
      </c>
      <c r="G622" t="s">
        <v>144</v>
      </c>
      <c r="H622" t="s">
        <v>23</v>
      </c>
      <c r="I622" t="s">
        <v>24</v>
      </c>
      <c r="J622" t="s">
        <v>25</v>
      </c>
      <c r="K622" t="s">
        <v>26</v>
      </c>
      <c r="L622" t="s">
        <v>43</v>
      </c>
      <c r="M622" t="str">
        <f>INDEX( dim_segment!$A$2:$A$5,MATCH(L622,  dim_segment!$B$2:$B$5, 0))</f>
        <v>SEG004</v>
      </c>
      <c r="N622" t="s">
        <v>54</v>
      </c>
      <c r="O622" s="2">
        <v>1</v>
      </c>
      <c r="P622" s="2">
        <v>75000</v>
      </c>
      <c r="Q622">
        <v>0.12</v>
      </c>
      <c r="R622" s="2">
        <v>66000</v>
      </c>
    </row>
    <row r="623" spans="1:18" x14ac:dyDescent="0.25">
      <c r="A623" t="s">
        <v>708</v>
      </c>
      <c r="B623" s="1">
        <v>45450</v>
      </c>
      <c r="C623" s="1" t="s">
        <v>84</v>
      </c>
      <c r="D623" t="s">
        <v>68</v>
      </c>
      <c r="E623" t="s">
        <v>673</v>
      </c>
      <c r="F623" t="s">
        <v>674</v>
      </c>
      <c r="G623" t="s">
        <v>144</v>
      </c>
      <c r="H623" t="s">
        <v>23</v>
      </c>
      <c r="I623" t="s">
        <v>75</v>
      </c>
      <c r="J623" t="s">
        <v>76</v>
      </c>
      <c r="K623" t="s">
        <v>49</v>
      </c>
      <c r="L623" t="s">
        <v>27</v>
      </c>
      <c r="M623" t="str">
        <f>INDEX( dim_segment!$A$2:$A$5,MATCH(L623,  dim_segment!$B$2:$B$5, 0))</f>
        <v>SEG002</v>
      </c>
      <c r="N623" t="s">
        <v>28</v>
      </c>
      <c r="O623" s="2">
        <v>4</v>
      </c>
      <c r="P623" s="2">
        <v>120000</v>
      </c>
      <c r="Q623">
        <v>0.06</v>
      </c>
      <c r="R623" s="2">
        <v>451200</v>
      </c>
    </row>
    <row r="624" spans="1:18" x14ac:dyDescent="0.25">
      <c r="A624" t="s">
        <v>709</v>
      </c>
      <c r="B624" s="1">
        <v>45459</v>
      </c>
      <c r="C624" s="1" t="s">
        <v>84</v>
      </c>
      <c r="D624" t="s">
        <v>68</v>
      </c>
      <c r="E624" t="s">
        <v>673</v>
      </c>
      <c r="F624" t="s">
        <v>674</v>
      </c>
      <c r="G624" t="s">
        <v>144</v>
      </c>
      <c r="H624" t="s">
        <v>23</v>
      </c>
      <c r="I624" t="s">
        <v>40</v>
      </c>
      <c r="J624" t="s">
        <v>41</v>
      </c>
      <c r="K624" t="s">
        <v>42</v>
      </c>
      <c r="L624" t="s">
        <v>23</v>
      </c>
      <c r="M624" t="str">
        <f>INDEX( dim_segment!$A$2:$A$5,MATCH(L624,  dim_segment!$B$2:$B$5, 0))</f>
        <v>SEG001</v>
      </c>
      <c r="N624" t="s">
        <v>37</v>
      </c>
      <c r="O624" s="2">
        <v>3</v>
      </c>
      <c r="P624" s="2">
        <v>85000</v>
      </c>
      <c r="Q624">
        <v>0.17</v>
      </c>
      <c r="R624" s="2">
        <v>211600</v>
      </c>
    </row>
    <row r="625" spans="1:18" x14ac:dyDescent="0.25">
      <c r="A625" t="s">
        <v>710</v>
      </c>
      <c r="B625" s="1">
        <v>45471</v>
      </c>
      <c r="C625" s="1" t="s">
        <v>84</v>
      </c>
      <c r="D625" t="s">
        <v>68</v>
      </c>
      <c r="E625" t="s">
        <v>673</v>
      </c>
      <c r="F625" t="s">
        <v>674</v>
      </c>
      <c r="G625" t="s">
        <v>144</v>
      </c>
      <c r="H625" t="s">
        <v>23</v>
      </c>
      <c r="I625" t="s">
        <v>35</v>
      </c>
      <c r="J625" t="s">
        <v>36</v>
      </c>
      <c r="K625" t="s">
        <v>32</v>
      </c>
      <c r="L625" t="s">
        <v>65</v>
      </c>
      <c r="M625" t="str">
        <f>INDEX( dim_segment!$A$2:$A$5,MATCH(L625,  dim_segment!$B$2:$B$5, 0))</f>
        <v>SEG003</v>
      </c>
      <c r="N625" t="s">
        <v>28</v>
      </c>
      <c r="O625" s="2">
        <v>2</v>
      </c>
      <c r="P625" s="2">
        <v>45000</v>
      </c>
      <c r="Q625">
        <v>0.19</v>
      </c>
      <c r="R625" s="2">
        <v>72900</v>
      </c>
    </row>
    <row r="626" spans="1:18" x14ac:dyDescent="0.25">
      <c r="A626" t="s">
        <v>711</v>
      </c>
      <c r="B626" s="1">
        <v>45450</v>
      </c>
      <c r="C626" s="1" t="s">
        <v>84</v>
      </c>
      <c r="D626" t="s">
        <v>68</v>
      </c>
      <c r="E626" t="s">
        <v>673</v>
      </c>
      <c r="F626" t="s">
        <v>674</v>
      </c>
      <c r="G626" t="s">
        <v>144</v>
      </c>
      <c r="H626" t="s">
        <v>23</v>
      </c>
      <c r="I626" t="s">
        <v>30</v>
      </c>
      <c r="J626" t="s">
        <v>31</v>
      </c>
      <c r="K626" t="s">
        <v>32</v>
      </c>
      <c r="L626" t="s">
        <v>23</v>
      </c>
      <c r="M626" t="str">
        <f>INDEX( dim_segment!$A$2:$A$5,MATCH(L626,  dim_segment!$B$2:$B$5, 0))</f>
        <v>SEG001</v>
      </c>
      <c r="N626" t="s">
        <v>37</v>
      </c>
      <c r="O626" s="2">
        <v>2</v>
      </c>
      <c r="P626" s="2">
        <v>60000</v>
      </c>
      <c r="Q626">
        <v>0.06</v>
      </c>
      <c r="R626" s="2">
        <v>112800</v>
      </c>
    </row>
    <row r="627" spans="1:18" x14ac:dyDescent="0.25">
      <c r="A627" t="s">
        <v>712</v>
      </c>
      <c r="B627" s="1">
        <v>45484</v>
      </c>
      <c r="C627" s="1" t="s">
        <v>92</v>
      </c>
      <c r="D627" t="s">
        <v>93</v>
      </c>
      <c r="E627" t="s">
        <v>673</v>
      </c>
      <c r="F627" t="s">
        <v>674</v>
      </c>
      <c r="G627" t="s">
        <v>144</v>
      </c>
      <c r="H627" t="s">
        <v>23</v>
      </c>
      <c r="I627" t="s">
        <v>47</v>
      </c>
      <c r="J627" t="s">
        <v>48</v>
      </c>
      <c r="K627" t="s">
        <v>49</v>
      </c>
      <c r="L627" t="s">
        <v>27</v>
      </c>
      <c r="M627" t="str">
        <f>INDEX( dim_segment!$A$2:$A$5,MATCH(L627,  dim_segment!$B$2:$B$5, 0))</f>
        <v>SEG002</v>
      </c>
      <c r="N627" t="s">
        <v>54</v>
      </c>
      <c r="O627" s="2">
        <v>2</v>
      </c>
      <c r="P627" s="2">
        <v>200000</v>
      </c>
      <c r="Q627">
        <v>0.13</v>
      </c>
      <c r="R627" s="2">
        <v>348000</v>
      </c>
    </row>
    <row r="628" spans="1:18" x14ac:dyDescent="0.25">
      <c r="A628" t="s">
        <v>713</v>
      </c>
      <c r="B628" s="1">
        <v>45479</v>
      </c>
      <c r="C628" s="1" t="s">
        <v>92</v>
      </c>
      <c r="D628" t="s">
        <v>93</v>
      </c>
      <c r="E628" t="s">
        <v>673</v>
      </c>
      <c r="F628" t="s">
        <v>674</v>
      </c>
      <c r="G628" t="s">
        <v>144</v>
      </c>
      <c r="H628" t="s">
        <v>23</v>
      </c>
      <c r="I628" t="s">
        <v>75</v>
      </c>
      <c r="J628" t="s">
        <v>76</v>
      </c>
      <c r="K628" t="s">
        <v>49</v>
      </c>
      <c r="L628" t="s">
        <v>23</v>
      </c>
      <c r="M628" t="str">
        <f>INDEX( dim_segment!$A$2:$A$5,MATCH(L628,  dim_segment!$B$2:$B$5, 0))</f>
        <v>SEG001</v>
      </c>
      <c r="N628" t="s">
        <v>54</v>
      </c>
      <c r="O628" s="2">
        <v>3</v>
      </c>
      <c r="P628" s="2">
        <v>120000</v>
      </c>
      <c r="Q628">
        <v>0.17</v>
      </c>
      <c r="R628" s="2">
        <v>298800</v>
      </c>
    </row>
    <row r="629" spans="1:18" x14ac:dyDescent="0.25">
      <c r="A629" t="s">
        <v>714</v>
      </c>
      <c r="B629" s="1">
        <v>45477</v>
      </c>
      <c r="C629" s="1" t="s">
        <v>92</v>
      </c>
      <c r="D629" t="s">
        <v>93</v>
      </c>
      <c r="E629" t="s">
        <v>673</v>
      </c>
      <c r="F629" t="s">
        <v>674</v>
      </c>
      <c r="G629" t="s">
        <v>144</v>
      </c>
      <c r="H629" t="s">
        <v>23</v>
      </c>
      <c r="I629" t="s">
        <v>30</v>
      </c>
      <c r="J629" t="s">
        <v>31</v>
      </c>
      <c r="K629" t="s">
        <v>32</v>
      </c>
      <c r="L629" t="s">
        <v>65</v>
      </c>
      <c r="M629" t="str">
        <f>INDEX( dim_segment!$A$2:$A$5,MATCH(L629,  dim_segment!$B$2:$B$5, 0))</f>
        <v>SEG003</v>
      </c>
      <c r="N629" t="s">
        <v>37</v>
      </c>
      <c r="O629" s="2">
        <v>4</v>
      </c>
      <c r="P629" s="2">
        <v>60000</v>
      </c>
      <c r="Q629">
        <v>0.08</v>
      </c>
      <c r="R629" s="2">
        <v>220800</v>
      </c>
    </row>
    <row r="630" spans="1:18" x14ac:dyDescent="0.25">
      <c r="A630" t="s">
        <v>715</v>
      </c>
      <c r="B630" s="1">
        <v>45485</v>
      </c>
      <c r="C630" s="1" t="s">
        <v>92</v>
      </c>
      <c r="D630" t="s">
        <v>93</v>
      </c>
      <c r="E630" t="s">
        <v>673</v>
      </c>
      <c r="F630" t="s">
        <v>674</v>
      </c>
      <c r="G630" t="s">
        <v>144</v>
      </c>
      <c r="H630" t="s">
        <v>23</v>
      </c>
      <c r="I630" t="s">
        <v>47</v>
      </c>
      <c r="J630" t="s">
        <v>48</v>
      </c>
      <c r="K630" t="s">
        <v>49</v>
      </c>
      <c r="L630" t="s">
        <v>23</v>
      </c>
      <c r="M630" t="str">
        <f>INDEX( dim_segment!$A$2:$A$5,MATCH(L630,  dim_segment!$B$2:$B$5, 0))</f>
        <v>SEG001</v>
      </c>
      <c r="N630" t="s">
        <v>28</v>
      </c>
      <c r="O630" s="2">
        <v>1</v>
      </c>
      <c r="P630" s="2">
        <v>200000</v>
      </c>
      <c r="Q630">
        <v>0.1</v>
      </c>
      <c r="R630" s="2">
        <v>180000</v>
      </c>
    </row>
    <row r="631" spans="1:18" x14ac:dyDescent="0.25">
      <c r="A631" t="s">
        <v>716</v>
      </c>
      <c r="B631" s="1">
        <v>45477</v>
      </c>
      <c r="C631" s="1" t="s">
        <v>92</v>
      </c>
      <c r="D631" t="s">
        <v>93</v>
      </c>
      <c r="E631" t="s">
        <v>673</v>
      </c>
      <c r="F631" t="s">
        <v>674</v>
      </c>
      <c r="G631" t="s">
        <v>144</v>
      </c>
      <c r="H631" t="s">
        <v>23</v>
      </c>
      <c r="I631" t="s">
        <v>30</v>
      </c>
      <c r="J631" t="s">
        <v>31</v>
      </c>
      <c r="K631" t="s">
        <v>32</v>
      </c>
      <c r="L631" t="s">
        <v>27</v>
      </c>
      <c r="M631" t="str">
        <f>INDEX( dim_segment!$A$2:$A$5,MATCH(L631,  dim_segment!$B$2:$B$5, 0))</f>
        <v>SEG002</v>
      </c>
      <c r="N631" t="s">
        <v>28</v>
      </c>
      <c r="O631" s="2">
        <v>4</v>
      </c>
      <c r="P631" s="2">
        <v>60000</v>
      </c>
      <c r="Q631">
        <v>0.09</v>
      </c>
      <c r="R631" s="2">
        <v>218400</v>
      </c>
    </row>
    <row r="632" spans="1:18" x14ac:dyDescent="0.25">
      <c r="A632" t="s">
        <v>717</v>
      </c>
      <c r="B632" s="1">
        <v>45481</v>
      </c>
      <c r="C632" s="1" t="s">
        <v>92</v>
      </c>
      <c r="D632" t="s">
        <v>93</v>
      </c>
      <c r="E632" t="s">
        <v>673</v>
      </c>
      <c r="F632" t="s">
        <v>674</v>
      </c>
      <c r="G632" t="s">
        <v>144</v>
      </c>
      <c r="H632" t="s">
        <v>23</v>
      </c>
      <c r="I632" t="s">
        <v>30</v>
      </c>
      <c r="J632" t="s">
        <v>31</v>
      </c>
      <c r="K632" t="s">
        <v>32</v>
      </c>
      <c r="L632" t="s">
        <v>27</v>
      </c>
      <c r="M632" t="str">
        <f>INDEX( dim_segment!$A$2:$A$5,MATCH(L632,  dim_segment!$B$2:$B$5, 0))</f>
        <v>SEG002</v>
      </c>
      <c r="N632" t="s">
        <v>37</v>
      </c>
      <c r="O632" s="2">
        <v>3</v>
      </c>
      <c r="P632" s="2">
        <v>60000</v>
      </c>
      <c r="Q632">
        <v>0.12</v>
      </c>
      <c r="R632" s="2">
        <v>158400</v>
      </c>
    </row>
    <row r="633" spans="1:18" x14ac:dyDescent="0.25">
      <c r="A633" t="s">
        <v>718</v>
      </c>
      <c r="B633" s="1">
        <v>45480</v>
      </c>
      <c r="C633" s="1" t="s">
        <v>92</v>
      </c>
      <c r="D633" t="s">
        <v>93</v>
      </c>
      <c r="E633" t="s">
        <v>673</v>
      </c>
      <c r="F633" t="s">
        <v>674</v>
      </c>
      <c r="G633" t="s">
        <v>144</v>
      </c>
      <c r="H633" t="s">
        <v>23</v>
      </c>
      <c r="I633" t="s">
        <v>35</v>
      </c>
      <c r="J633" t="s">
        <v>36</v>
      </c>
      <c r="K633" t="s">
        <v>32</v>
      </c>
      <c r="L633" t="s">
        <v>65</v>
      </c>
      <c r="M633" t="str">
        <f>INDEX( dim_segment!$A$2:$A$5,MATCH(L633,  dim_segment!$B$2:$B$5, 0))</f>
        <v>SEG003</v>
      </c>
      <c r="N633" t="s">
        <v>54</v>
      </c>
      <c r="O633" s="2">
        <v>5</v>
      </c>
      <c r="P633" s="2">
        <v>45000</v>
      </c>
      <c r="Q633">
        <v>0.1</v>
      </c>
      <c r="R633" s="2">
        <v>202500</v>
      </c>
    </row>
    <row r="634" spans="1:18" x14ac:dyDescent="0.25">
      <c r="A634" t="s">
        <v>719</v>
      </c>
      <c r="B634" s="1">
        <v>45532</v>
      </c>
      <c r="C634" s="1" t="s">
        <v>102</v>
      </c>
      <c r="D634" t="s">
        <v>93</v>
      </c>
      <c r="E634" t="s">
        <v>673</v>
      </c>
      <c r="F634" t="s">
        <v>674</v>
      </c>
      <c r="G634" t="s">
        <v>144</v>
      </c>
      <c r="H634" t="s">
        <v>23</v>
      </c>
      <c r="I634" t="s">
        <v>30</v>
      </c>
      <c r="J634" t="s">
        <v>31</v>
      </c>
      <c r="K634" t="s">
        <v>32</v>
      </c>
      <c r="L634" t="s">
        <v>43</v>
      </c>
      <c r="M634" t="str">
        <f>INDEX( dim_segment!$A$2:$A$5,MATCH(L634,  dim_segment!$B$2:$B$5, 0))</f>
        <v>SEG004</v>
      </c>
      <c r="N634" t="s">
        <v>37</v>
      </c>
      <c r="O634" s="2">
        <v>5</v>
      </c>
      <c r="P634" s="2">
        <v>60000</v>
      </c>
      <c r="Q634">
        <v>0.18</v>
      </c>
      <c r="R634" s="2">
        <v>246000</v>
      </c>
    </row>
    <row r="635" spans="1:18" x14ac:dyDescent="0.25">
      <c r="A635" t="s">
        <v>720</v>
      </c>
      <c r="B635" s="1">
        <v>45515</v>
      </c>
      <c r="C635" s="1" t="s">
        <v>102</v>
      </c>
      <c r="D635" t="s">
        <v>93</v>
      </c>
      <c r="E635" t="s">
        <v>673</v>
      </c>
      <c r="F635" t="s">
        <v>674</v>
      </c>
      <c r="G635" t="s">
        <v>144</v>
      </c>
      <c r="H635" t="s">
        <v>23</v>
      </c>
      <c r="I635" t="s">
        <v>35</v>
      </c>
      <c r="J635" t="s">
        <v>36</v>
      </c>
      <c r="K635" t="s">
        <v>32</v>
      </c>
      <c r="L635" t="s">
        <v>65</v>
      </c>
      <c r="M635" t="str">
        <f>INDEX( dim_segment!$A$2:$A$5,MATCH(L635,  dim_segment!$B$2:$B$5, 0))</f>
        <v>SEG003</v>
      </c>
      <c r="N635" t="s">
        <v>37</v>
      </c>
      <c r="O635" s="2">
        <v>4</v>
      </c>
      <c r="P635" s="2">
        <v>45000</v>
      </c>
      <c r="Q635">
        <v>7.0000000000000007E-2</v>
      </c>
      <c r="R635" s="2">
        <v>167400</v>
      </c>
    </row>
    <row r="636" spans="1:18" x14ac:dyDescent="0.25">
      <c r="A636" t="s">
        <v>721</v>
      </c>
      <c r="B636" s="1">
        <v>45530</v>
      </c>
      <c r="C636" s="1" t="s">
        <v>102</v>
      </c>
      <c r="D636" t="s">
        <v>93</v>
      </c>
      <c r="E636" t="s">
        <v>673</v>
      </c>
      <c r="F636" t="s">
        <v>674</v>
      </c>
      <c r="G636" t="s">
        <v>144</v>
      </c>
      <c r="H636" t="s">
        <v>23</v>
      </c>
      <c r="I636" t="s">
        <v>24</v>
      </c>
      <c r="J636" t="s">
        <v>25</v>
      </c>
      <c r="K636" t="s">
        <v>26</v>
      </c>
      <c r="L636" t="s">
        <v>65</v>
      </c>
      <c r="M636" t="str">
        <f>INDEX( dim_segment!$A$2:$A$5,MATCH(L636,  dim_segment!$B$2:$B$5, 0))</f>
        <v>SEG003</v>
      </c>
      <c r="N636" t="s">
        <v>33</v>
      </c>
      <c r="O636" s="2">
        <v>1</v>
      </c>
      <c r="P636" s="2">
        <v>75000</v>
      </c>
      <c r="Q636">
        <v>0.11</v>
      </c>
      <c r="R636" s="2">
        <v>66800</v>
      </c>
    </row>
    <row r="637" spans="1:18" x14ac:dyDescent="0.25">
      <c r="A637" t="s">
        <v>722</v>
      </c>
      <c r="B637" s="1">
        <v>45537</v>
      </c>
      <c r="C637" s="1" t="s">
        <v>106</v>
      </c>
      <c r="D637" t="s">
        <v>93</v>
      </c>
      <c r="E637" t="s">
        <v>673</v>
      </c>
      <c r="F637" t="s">
        <v>674</v>
      </c>
      <c r="G637" t="s">
        <v>144</v>
      </c>
      <c r="H637" t="s">
        <v>23</v>
      </c>
      <c r="I637" t="s">
        <v>60</v>
      </c>
      <c r="J637" t="s">
        <v>61</v>
      </c>
      <c r="K637" t="s">
        <v>26</v>
      </c>
      <c r="L637" t="s">
        <v>23</v>
      </c>
      <c r="M637" t="str">
        <f>INDEX( dim_segment!$A$2:$A$5,MATCH(L637,  dim_segment!$B$2:$B$5, 0))</f>
        <v>SEG001</v>
      </c>
      <c r="N637" t="s">
        <v>37</v>
      </c>
      <c r="O637" s="2">
        <v>5</v>
      </c>
      <c r="P637" s="2">
        <v>95000</v>
      </c>
      <c r="Q637">
        <v>0.19</v>
      </c>
      <c r="R637" s="2">
        <v>384800</v>
      </c>
    </row>
    <row r="638" spans="1:18" x14ac:dyDescent="0.25">
      <c r="A638" t="s">
        <v>723</v>
      </c>
      <c r="B638" s="1">
        <v>45545</v>
      </c>
      <c r="C638" s="1" t="s">
        <v>106</v>
      </c>
      <c r="D638" t="s">
        <v>93</v>
      </c>
      <c r="E638" t="s">
        <v>673</v>
      </c>
      <c r="F638" t="s">
        <v>674</v>
      </c>
      <c r="G638" t="s">
        <v>144</v>
      </c>
      <c r="H638" t="s">
        <v>23</v>
      </c>
      <c r="I638" t="s">
        <v>30</v>
      </c>
      <c r="J638" t="s">
        <v>31</v>
      </c>
      <c r="K638" t="s">
        <v>32</v>
      </c>
      <c r="L638" t="s">
        <v>23</v>
      </c>
      <c r="M638" t="str">
        <f>INDEX( dim_segment!$A$2:$A$5,MATCH(L638,  dim_segment!$B$2:$B$5, 0))</f>
        <v>SEG001</v>
      </c>
      <c r="N638" t="s">
        <v>28</v>
      </c>
      <c r="O638" s="2">
        <v>4</v>
      </c>
      <c r="P638" s="2">
        <v>60000</v>
      </c>
      <c r="Q638">
        <v>0.09</v>
      </c>
      <c r="R638" s="2">
        <v>218400</v>
      </c>
    </row>
    <row r="639" spans="1:18" x14ac:dyDescent="0.25">
      <c r="A639" t="s">
        <v>724</v>
      </c>
      <c r="B639" s="1">
        <v>45547</v>
      </c>
      <c r="C639" s="1" t="s">
        <v>106</v>
      </c>
      <c r="D639" t="s">
        <v>93</v>
      </c>
      <c r="E639" t="s">
        <v>673</v>
      </c>
      <c r="F639" t="s">
        <v>674</v>
      </c>
      <c r="G639" t="s">
        <v>144</v>
      </c>
      <c r="H639" t="s">
        <v>23</v>
      </c>
      <c r="I639" t="s">
        <v>47</v>
      </c>
      <c r="J639" t="s">
        <v>48</v>
      </c>
      <c r="K639" t="s">
        <v>49</v>
      </c>
      <c r="L639" t="s">
        <v>43</v>
      </c>
      <c r="M639" t="str">
        <f>INDEX( dim_segment!$A$2:$A$5,MATCH(L639,  dim_segment!$B$2:$B$5, 0))</f>
        <v>SEG004</v>
      </c>
      <c r="N639" t="s">
        <v>28</v>
      </c>
      <c r="O639" s="2">
        <v>1</v>
      </c>
      <c r="P639" s="2">
        <v>200000</v>
      </c>
      <c r="Q639">
        <v>0.08</v>
      </c>
      <c r="R639" s="2">
        <v>184000</v>
      </c>
    </row>
    <row r="640" spans="1:18" x14ac:dyDescent="0.25">
      <c r="A640" t="s">
        <v>725</v>
      </c>
      <c r="B640" s="1">
        <v>45538</v>
      </c>
      <c r="C640" s="1" t="s">
        <v>106</v>
      </c>
      <c r="D640" t="s">
        <v>93</v>
      </c>
      <c r="E640" t="s">
        <v>673</v>
      </c>
      <c r="F640" t="s">
        <v>674</v>
      </c>
      <c r="G640" t="s">
        <v>144</v>
      </c>
      <c r="H640" t="s">
        <v>23</v>
      </c>
      <c r="I640" t="s">
        <v>47</v>
      </c>
      <c r="J640" t="s">
        <v>48</v>
      </c>
      <c r="K640" t="s">
        <v>49</v>
      </c>
      <c r="L640" t="s">
        <v>65</v>
      </c>
      <c r="M640" t="str">
        <f>INDEX( dim_segment!$A$2:$A$5,MATCH(L640,  dim_segment!$B$2:$B$5, 0))</f>
        <v>SEG003</v>
      </c>
      <c r="N640" t="s">
        <v>54</v>
      </c>
      <c r="O640" s="2">
        <v>5</v>
      </c>
      <c r="P640" s="2">
        <v>200000</v>
      </c>
      <c r="Q640">
        <v>0.08</v>
      </c>
      <c r="R640" s="2">
        <v>920000</v>
      </c>
    </row>
    <row r="641" spans="1:18" x14ac:dyDescent="0.25">
      <c r="A641" t="s">
        <v>726</v>
      </c>
      <c r="B641" s="1">
        <v>45559</v>
      </c>
      <c r="C641" s="1" t="s">
        <v>106</v>
      </c>
      <c r="D641" t="s">
        <v>93</v>
      </c>
      <c r="E641" t="s">
        <v>673</v>
      </c>
      <c r="F641" t="s">
        <v>674</v>
      </c>
      <c r="G641" t="s">
        <v>144</v>
      </c>
      <c r="H641" t="s">
        <v>23</v>
      </c>
      <c r="I641" t="s">
        <v>30</v>
      </c>
      <c r="J641" t="s">
        <v>31</v>
      </c>
      <c r="K641" t="s">
        <v>32</v>
      </c>
      <c r="L641" t="s">
        <v>43</v>
      </c>
      <c r="M641" t="str">
        <f>INDEX( dim_segment!$A$2:$A$5,MATCH(L641,  dim_segment!$B$2:$B$5, 0))</f>
        <v>SEG004</v>
      </c>
      <c r="N641" t="s">
        <v>33</v>
      </c>
      <c r="O641" s="2">
        <v>2</v>
      </c>
      <c r="P641" s="2">
        <v>60000</v>
      </c>
      <c r="Q641">
        <v>0.13</v>
      </c>
      <c r="R641" s="2">
        <v>104400</v>
      </c>
    </row>
    <row r="642" spans="1:18" x14ac:dyDescent="0.25">
      <c r="A642" t="s">
        <v>727</v>
      </c>
      <c r="B642" s="1">
        <v>45554</v>
      </c>
      <c r="C642" s="1" t="s">
        <v>106</v>
      </c>
      <c r="D642" t="s">
        <v>93</v>
      </c>
      <c r="E642" t="s">
        <v>673</v>
      </c>
      <c r="F642" t="s">
        <v>674</v>
      </c>
      <c r="G642" t="s">
        <v>144</v>
      </c>
      <c r="H642" t="s">
        <v>23</v>
      </c>
      <c r="I642" t="s">
        <v>60</v>
      </c>
      <c r="J642" t="s">
        <v>61</v>
      </c>
      <c r="K642" t="s">
        <v>26</v>
      </c>
      <c r="L642" t="s">
        <v>27</v>
      </c>
      <c r="M642" t="str">
        <f>INDEX( dim_segment!$A$2:$A$5,MATCH(L642,  dim_segment!$B$2:$B$5, 0))</f>
        <v>SEG002</v>
      </c>
      <c r="N642" t="s">
        <v>28</v>
      </c>
      <c r="O642" s="2">
        <v>2</v>
      </c>
      <c r="P642" s="2">
        <v>95000</v>
      </c>
      <c r="Q642">
        <v>0.14000000000000001</v>
      </c>
      <c r="R642" s="2">
        <v>163400</v>
      </c>
    </row>
    <row r="643" spans="1:18" x14ac:dyDescent="0.25">
      <c r="A643" t="s">
        <v>728</v>
      </c>
      <c r="B643" s="1">
        <v>45542</v>
      </c>
      <c r="C643" s="1" t="s">
        <v>106</v>
      </c>
      <c r="D643" t="s">
        <v>93</v>
      </c>
      <c r="E643" t="s">
        <v>673</v>
      </c>
      <c r="F643" t="s">
        <v>674</v>
      </c>
      <c r="G643" t="s">
        <v>144</v>
      </c>
      <c r="H643" t="s">
        <v>23</v>
      </c>
      <c r="I643" t="s">
        <v>75</v>
      </c>
      <c r="J643" t="s">
        <v>76</v>
      </c>
      <c r="K643" t="s">
        <v>49</v>
      </c>
      <c r="L643" t="s">
        <v>23</v>
      </c>
      <c r="M643" t="str">
        <f>INDEX( dim_segment!$A$2:$A$5,MATCH(L643,  dim_segment!$B$2:$B$5, 0))</f>
        <v>SEG001</v>
      </c>
      <c r="N643" t="s">
        <v>28</v>
      </c>
      <c r="O643" s="2">
        <v>3</v>
      </c>
      <c r="P643" s="2">
        <v>120000</v>
      </c>
      <c r="Q643">
        <v>0.17</v>
      </c>
      <c r="R643" s="2">
        <v>298800</v>
      </c>
    </row>
    <row r="644" spans="1:18" x14ac:dyDescent="0.25">
      <c r="A644" t="s">
        <v>729</v>
      </c>
      <c r="B644" s="1">
        <v>45552</v>
      </c>
      <c r="C644" s="1" t="s">
        <v>106</v>
      </c>
      <c r="D644" t="s">
        <v>93</v>
      </c>
      <c r="E644" t="s">
        <v>673</v>
      </c>
      <c r="F644" t="s">
        <v>674</v>
      </c>
      <c r="G644" t="s">
        <v>144</v>
      </c>
      <c r="H644" t="s">
        <v>23</v>
      </c>
      <c r="I644" t="s">
        <v>75</v>
      </c>
      <c r="J644" t="s">
        <v>76</v>
      </c>
      <c r="K644" t="s">
        <v>49</v>
      </c>
      <c r="L644" t="s">
        <v>65</v>
      </c>
      <c r="M644" t="str">
        <f>INDEX( dim_segment!$A$2:$A$5,MATCH(L644,  dim_segment!$B$2:$B$5, 0))</f>
        <v>SEG003</v>
      </c>
      <c r="N644" t="s">
        <v>37</v>
      </c>
      <c r="O644" s="2">
        <v>5</v>
      </c>
      <c r="P644" s="2">
        <v>120000</v>
      </c>
      <c r="Q644">
        <v>0.13</v>
      </c>
      <c r="R644" s="2">
        <v>522000</v>
      </c>
    </row>
    <row r="645" spans="1:18" x14ac:dyDescent="0.25">
      <c r="A645" t="s">
        <v>730</v>
      </c>
      <c r="B645" s="1">
        <v>45558</v>
      </c>
      <c r="C645" s="1" t="s">
        <v>106</v>
      </c>
      <c r="D645" t="s">
        <v>93</v>
      </c>
      <c r="E645" t="s">
        <v>673</v>
      </c>
      <c r="F645" t="s">
        <v>674</v>
      </c>
      <c r="G645" t="s">
        <v>144</v>
      </c>
      <c r="H645" t="s">
        <v>23</v>
      </c>
      <c r="I645" t="s">
        <v>40</v>
      </c>
      <c r="J645" t="s">
        <v>41</v>
      </c>
      <c r="K645" t="s">
        <v>42</v>
      </c>
      <c r="L645" t="s">
        <v>43</v>
      </c>
      <c r="M645" t="str">
        <f>INDEX( dim_segment!$A$2:$A$5,MATCH(L645,  dim_segment!$B$2:$B$5, 0))</f>
        <v>SEG004</v>
      </c>
      <c r="N645" t="s">
        <v>54</v>
      </c>
      <c r="O645" s="2">
        <v>4</v>
      </c>
      <c r="P645" s="2">
        <v>85000</v>
      </c>
      <c r="Q645">
        <v>0.15</v>
      </c>
      <c r="R645" s="2">
        <v>289000</v>
      </c>
    </row>
    <row r="646" spans="1:18" x14ac:dyDescent="0.25">
      <c r="A646" t="s">
        <v>731</v>
      </c>
      <c r="B646" s="1">
        <v>45573</v>
      </c>
      <c r="C646" s="1" t="s">
        <v>115</v>
      </c>
      <c r="D646" t="s">
        <v>116</v>
      </c>
      <c r="E646" t="s">
        <v>673</v>
      </c>
      <c r="F646" t="s">
        <v>674</v>
      </c>
      <c r="G646" t="s">
        <v>144</v>
      </c>
      <c r="H646" t="s">
        <v>23</v>
      </c>
      <c r="I646" t="s">
        <v>47</v>
      </c>
      <c r="J646" t="s">
        <v>48</v>
      </c>
      <c r="K646" t="s">
        <v>49</v>
      </c>
      <c r="L646" t="s">
        <v>23</v>
      </c>
      <c r="M646" t="str">
        <f>INDEX( dim_segment!$A$2:$A$5,MATCH(L646,  dim_segment!$B$2:$B$5, 0))</f>
        <v>SEG001</v>
      </c>
      <c r="N646" t="s">
        <v>33</v>
      </c>
      <c r="O646" s="2">
        <v>5</v>
      </c>
      <c r="P646" s="2">
        <v>200000</v>
      </c>
      <c r="Q646">
        <v>0.16</v>
      </c>
      <c r="R646" s="2">
        <v>840000</v>
      </c>
    </row>
    <row r="647" spans="1:18" x14ac:dyDescent="0.25">
      <c r="A647" t="s">
        <v>732</v>
      </c>
      <c r="B647" s="1">
        <v>45579</v>
      </c>
      <c r="C647" s="1" t="s">
        <v>115</v>
      </c>
      <c r="D647" t="s">
        <v>116</v>
      </c>
      <c r="E647" t="s">
        <v>673</v>
      </c>
      <c r="F647" t="s">
        <v>674</v>
      </c>
      <c r="G647" t="s">
        <v>144</v>
      </c>
      <c r="H647" t="s">
        <v>23</v>
      </c>
      <c r="I647" t="s">
        <v>60</v>
      </c>
      <c r="J647" t="s">
        <v>61</v>
      </c>
      <c r="K647" t="s">
        <v>26</v>
      </c>
      <c r="L647" t="s">
        <v>23</v>
      </c>
      <c r="M647" t="str">
        <f>INDEX( dim_segment!$A$2:$A$5,MATCH(L647,  dim_segment!$B$2:$B$5, 0))</f>
        <v>SEG001</v>
      </c>
      <c r="N647" t="s">
        <v>37</v>
      </c>
      <c r="O647" s="2">
        <v>5</v>
      </c>
      <c r="P647" s="2">
        <v>95000</v>
      </c>
      <c r="Q647">
        <v>0.08</v>
      </c>
      <c r="R647" s="2">
        <v>437000</v>
      </c>
    </row>
    <row r="648" spans="1:18" x14ac:dyDescent="0.25">
      <c r="A648" t="s">
        <v>733</v>
      </c>
      <c r="B648" s="1">
        <v>45579</v>
      </c>
      <c r="C648" s="1" t="s">
        <v>115</v>
      </c>
      <c r="D648" t="s">
        <v>116</v>
      </c>
      <c r="E648" t="s">
        <v>673</v>
      </c>
      <c r="F648" t="s">
        <v>674</v>
      </c>
      <c r="G648" t="s">
        <v>144</v>
      </c>
      <c r="H648" t="s">
        <v>23</v>
      </c>
      <c r="I648" t="s">
        <v>24</v>
      </c>
      <c r="J648" t="s">
        <v>25</v>
      </c>
      <c r="K648" t="s">
        <v>26</v>
      </c>
      <c r="L648" t="s">
        <v>27</v>
      </c>
      <c r="M648" t="str">
        <f>INDEX( dim_segment!$A$2:$A$5,MATCH(L648,  dim_segment!$B$2:$B$5, 0))</f>
        <v>SEG002</v>
      </c>
      <c r="N648" t="s">
        <v>28</v>
      </c>
      <c r="O648" s="2">
        <v>5</v>
      </c>
      <c r="P648" s="2">
        <v>75000</v>
      </c>
      <c r="Q648">
        <v>0.17</v>
      </c>
      <c r="R648" s="2">
        <v>311200</v>
      </c>
    </row>
    <row r="649" spans="1:18" x14ac:dyDescent="0.25">
      <c r="A649" t="s">
        <v>734</v>
      </c>
      <c r="B649" s="1">
        <v>45575</v>
      </c>
      <c r="C649" s="1" t="s">
        <v>115</v>
      </c>
      <c r="D649" t="s">
        <v>116</v>
      </c>
      <c r="E649" t="s">
        <v>673</v>
      </c>
      <c r="F649" t="s">
        <v>674</v>
      </c>
      <c r="G649" t="s">
        <v>144</v>
      </c>
      <c r="H649" t="s">
        <v>23</v>
      </c>
      <c r="I649" t="s">
        <v>40</v>
      </c>
      <c r="J649" t="s">
        <v>41</v>
      </c>
      <c r="K649" t="s">
        <v>42</v>
      </c>
      <c r="L649" t="s">
        <v>23</v>
      </c>
      <c r="M649" t="str">
        <f>INDEX( dim_segment!$A$2:$A$5,MATCH(L649,  dim_segment!$B$2:$B$5, 0))</f>
        <v>SEG001</v>
      </c>
      <c r="N649" t="s">
        <v>37</v>
      </c>
      <c r="O649" s="2">
        <v>2</v>
      </c>
      <c r="P649" s="2">
        <v>85000</v>
      </c>
      <c r="Q649">
        <v>0.17</v>
      </c>
      <c r="R649" s="2">
        <v>141100</v>
      </c>
    </row>
    <row r="650" spans="1:18" x14ac:dyDescent="0.25">
      <c r="A650" t="s">
        <v>735</v>
      </c>
      <c r="B650" s="1">
        <v>45578</v>
      </c>
      <c r="C650" s="1" t="s">
        <v>115</v>
      </c>
      <c r="D650" t="s">
        <v>116</v>
      </c>
      <c r="E650" t="s">
        <v>673</v>
      </c>
      <c r="F650" t="s">
        <v>674</v>
      </c>
      <c r="G650" t="s">
        <v>144</v>
      </c>
      <c r="H650" t="s">
        <v>23</v>
      </c>
      <c r="I650" t="s">
        <v>24</v>
      </c>
      <c r="J650" t="s">
        <v>25</v>
      </c>
      <c r="K650" t="s">
        <v>26</v>
      </c>
      <c r="L650" t="s">
        <v>23</v>
      </c>
      <c r="M650" t="str">
        <f>INDEX( dim_segment!$A$2:$A$5,MATCH(L650,  dim_segment!$B$2:$B$5, 0))</f>
        <v>SEG001</v>
      </c>
      <c r="N650" t="s">
        <v>33</v>
      </c>
      <c r="O650" s="2">
        <v>2</v>
      </c>
      <c r="P650" s="2">
        <v>75000</v>
      </c>
      <c r="Q650">
        <v>0.06</v>
      </c>
      <c r="R650" s="2">
        <v>141000</v>
      </c>
    </row>
    <row r="651" spans="1:18" x14ac:dyDescent="0.25">
      <c r="A651" t="s">
        <v>736</v>
      </c>
      <c r="B651" s="1">
        <v>45620</v>
      </c>
      <c r="C651" s="1" t="s">
        <v>125</v>
      </c>
      <c r="D651" t="s">
        <v>116</v>
      </c>
      <c r="E651" t="s">
        <v>673</v>
      </c>
      <c r="F651" t="s">
        <v>674</v>
      </c>
      <c r="G651" t="s">
        <v>144</v>
      </c>
      <c r="H651" t="s">
        <v>23</v>
      </c>
      <c r="I651" t="s">
        <v>30</v>
      </c>
      <c r="J651" t="s">
        <v>31</v>
      </c>
      <c r="K651" t="s">
        <v>32</v>
      </c>
      <c r="L651" t="s">
        <v>43</v>
      </c>
      <c r="M651" t="str">
        <f>INDEX( dim_segment!$A$2:$A$5,MATCH(L651,  dim_segment!$B$2:$B$5, 0))</f>
        <v>SEG004</v>
      </c>
      <c r="N651" t="s">
        <v>28</v>
      </c>
      <c r="O651" s="2">
        <v>1</v>
      </c>
      <c r="P651" s="2">
        <v>60000</v>
      </c>
      <c r="Q651">
        <v>0.19</v>
      </c>
      <c r="R651" s="2">
        <v>48600</v>
      </c>
    </row>
    <row r="652" spans="1:18" x14ac:dyDescent="0.25">
      <c r="A652" t="s">
        <v>737</v>
      </c>
      <c r="B652" s="1">
        <v>45620</v>
      </c>
      <c r="C652" s="1" t="s">
        <v>125</v>
      </c>
      <c r="D652" t="s">
        <v>116</v>
      </c>
      <c r="E652" t="s">
        <v>673</v>
      </c>
      <c r="F652" t="s">
        <v>674</v>
      </c>
      <c r="G652" t="s">
        <v>144</v>
      </c>
      <c r="H652" t="s">
        <v>23</v>
      </c>
      <c r="I652" t="s">
        <v>47</v>
      </c>
      <c r="J652" t="s">
        <v>48</v>
      </c>
      <c r="K652" t="s">
        <v>49</v>
      </c>
      <c r="L652" t="s">
        <v>27</v>
      </c>
      <c r="M652" t="str">
        <f>INDEX( dim_segment!$A$2:$A$5,MATCH(L652,  dim_segment!$B$2:$B$5, 0))</f>
        <v>SEG002</v>
      </c>
      <c r="N652" t="s">
        <v>28</v>
      </c>
      <c r="O652" s="2">
        <v>3</v>
      </c>
      <c r="P652" s="2">
        <v>200000</v>
      </c>
      <c r="Q652">
        <v>0.17</v>
      </c>
      <c r="R652" s="2">
        <v>498000</v>
      </c>
    </row>
    <row r="653" spans="1:18" x14ac:dyDescent="0.25">
      <c r="A653" t="s">
        <v>738</v>
      </c>
      <c r="B653" s="1">
        <v>45609</v>
      </c>
      <c r="C653" s="1" t="s">
        <v>125</v>
      </c>
      <c r="D653" t="s">
        <v>116</v>
      </c>
      <c r="E653" t="s">
        <v>673</v>
      </c>
      <c r="F653" t="s">
        <v>674</v>
      </c>
      <c r="G653" t="s">
        <v>144</v>
      </c>
      <c r="H653" t="s">
        <v>23</v>
      </c>
      <c r="I653" t="s">
        <v>24</v>
      </c>
      <c r="J653" t="s">
        <v>25</v>
      </c>
      <c r="K653" t="s">
        <v>26</v>
      </c>
      <c r="L653" t="s">
        <v>65</v>
      </c>
      <c r="M653" t="str">
        <f>INDEX( dim_segment!$A$2:$A$5,MATCH(L653,  dim_segment!$B$2:$B$5, 0))</f>
        <v>SEG003</v>
      </c>
      <c r="N653" t="s">
        <v>33</v>
      </c>
      <c r="O653" s="2">
        <v>3</v>
      </c>
      <c r="P653" s="2">
        <v>75000</v>
      </c>
      <c r="Q653">
        <v>0.13</v>
      </c>
      <c r="R653" s="2">
        <v>195800</v>
      </c>
    </row>
    <row r="654" spans="1:18" x14ac:dyDescent="0.25">
      <c r="A654" t="s">
        <v>739</v>
      </c>
      <c r="B654" s="1">
        <v>45597</v>
      </c>
      <c r="C654" s="1" t="s">
        <v>125</v>
      </c>
      <c r="D654" t="s">
        <v>116</v>
      </c>
      <c r="E654" t="s">
        <v>673</v>
      </c>
      <c r="F654" t="s">
        <v>674</v>
      </c>
      <c r="G654" t="s">
        <v>144</v>
      </c>
      <c r="H654" t="s">
        <v>23</v>
      </c>
      <c r="I654" t="s">
        <v>75</v>
      </c>
      <c r="J654" t="s">
        <v>76</v>
      </c>
      <c r="K654" t="s">
        <v>49</v>
      </c>
      <c r="L654" t="s">
        <v>65</v>
      </c>
      <c r="M654" t="str">
        <f>INDEX( dim_segment!$A$2:$A$5,MATCH(L654,  dim_segment!$B$2:$B$5, 0))</f>
        <v>SEG003</v>
      </c>
      <c r="N654" t="s">
        <v>37</v>
      </c>
      <c r="O654" s="2">
        <v>1</v>
      </c>
      <c r="P654" s="2">
        <v>120000</v>
      </c>
      <c r="Q654">
        <v>0.16</v>
      </c>
      <c r="R654" s="2">
        <v>100800</v>
      </c>
    </row>
    <row r="655" spans="1:18" x14ac:dyDescent="0.25">
      <c r="A655" t="s">
        <v>740</v>
      </c>
      <c r="B655" s="1">
        <v>45614</v>
      </c>
      <c r="C655" s="1" t="s">
        <v>125</v>
      </c>
      <c r="D655" t="s">
        <v>116</v>
      </c>
      <c r="E655" t="s">
        <v>673</v>
      </c>
      <c r="F655" t="s">
        <v>674</v>
      </c>
      <c r="G655" t="s">
        <v>144</v>
      </c>
      <c r="H655" t="s">
        <v>23</v>
      </c>
      <c r="I655" t="s">
        <v>75</v>
      </c>
      <c r="J655" t="s">
        <v>76</v>
      </c>
      <c r="K655" t="s">
        <v>49</v>
      </c>
      <c r="L655" t="s">
        <v>27</v>
      </c>
      <c r="M655" t="str">
        <f>INDEX( dim_segment!$A$2:$A$5,MATCH(L655,  dim_segment!$B$2:$B$5, 0))</f>
        <v>SEG002</v>
      </c>
      <c r="N655" t="s">
        <v>37</v>
      </c>
      <c r="O655" s="2">
        <v>5</v>
      </c>
      <c r="P655" s="2">
        <v>120000</v>
      </c>
      <c r="Q655">
        <v>0.08</v>
      </c>
      <c r="R655" s="2">
        <v>552000</v>
      </c>
    </row>
    <row r="656" spans="1:18" x14ac:dyDescent="0.25">
      <c r="A656" t="s">
        <v>741</v>
      </c>
      <c r="B656" s="1">
        <v>45617</v>
      </c>
      <c r="C656" s="1" t="s">
        <v>125</v>
      </c>
      <c r="D656" t="s">
        <v>116</v>
      </c>
      <c r="E656" t="s">
        <v>673</v>
      </c>
      <c r="F656" t="s">
        <v>674</v>
      </c>
      <c r="G656" t="s">
        <v>144</v>
      </c>
      <c r="H656" t="s">
        <v>23</v>
      </c>
      <c r="I656" t="s">
        <v>47</v>
      </c>
      <c r="J656" t="s">
        <v>48</v>
      </c>
      <c r="K656" t="s">
        <v>49</v>
      </c>
      <c r="L656" t="s">
        <v>65</v>
      </c>
      <c r="M656" t="str">
        <f>INDEX( dim_segment!$A$2:$A$5,MATCH(L656,  dim_segment!$B$2:$B$5, 0))</f>
        <v>SEG003</v>
      </c>
      <c r="N656" t="s">
        <v>54</v>
      </c>
      <c r="O656" s="2">
        <v>1</v>
      </c>
      <c r="P656" s="2">
        <v>200000</v>
      </c>
      <c r="Q656">
        <v>0.11</v>
      </c>
      <c r="R656" s="2">
        <v>178000</v>
      </c>
    </row>
    <row r="657" spans="1:18" x14ac:dyDescent="0.25">
      <c r="A657" t="s">
        <v>742</v>
      </c>
      <c r="B657" s="1">
        <v>45600</v>
      </c>
      <c r="C657" s="1" t="s">
        <v>125</v>
      </c>
      <c r="D657" t="s">
        <v>116</v>
      </c>
      <c r="E657" t="s">
        <v>673</v>
      </c>
      <c r="F657" t="s">
        <v>674</v>
      </c>
      <c r="G657" t="s">
        <v>144</v>
      </c>
      <c r="H657" t="s">
        <v>23</v>
      </c>
      <c r="I657" t="s">
        <v>47</v>
      </c>
      <c r="J657" t="s">
        <v>48</v>
      </c>
      <c r="K657" t="s">
        <v>49</v>
      </c>
      <c r="L657" t="s">
        <v>27</v>
      </c>
      <c r="M657" t="str">
        <f>INDEX( dim_segment!$A$2:$A$5,MATCH(L657,  dim_segment!$B$2:$B$5, 0))</f>
        <v>SEG002</v>
      </c>
      <c r="N657" t="s">
        <v>54</v>
      </c>
      <c r="O657" s="2">
        <v>3</v>
      </c>
      <c r="P657" s="2">
        <v>200000</v>
      </c>
      <c r="Q657">
        <v>0.13</v>
      </c>
      <c r="R657" s="2">
        <v>522000</v>
      </c>
    </row>
    <row r="658" spans="1:18" x14ac:dyDescent="0.25">
      <c r="A658" t="s">
        <v>743</v>
      </c>
      <c r="B658" s="1">
        <v>45608</v>
      </c>
      <c r="C658" s="1" t="s">
        <v>125</v>
      </c>
      <c r="D658" t="s">
        <v>116</v>
      </c>
      <c r="E658" t="s">
        <v>673</v>
      </c>
      <c r="F658" t="s">
        <v>674</v>
      </c>
      <c r="G658" t="s">
        <v>144</v>
      </c>
      <c r="H658" t="s">
        <v>23</v>
      </c>
      <c r="I658" t="s">
        <v>47</v>
      </c>
      <c r="J658" t="s">
        <v>48</v>
      </c>
      <c r="K658" t="s">
        <v>49</v>
      </c>
      <c r="L658" t="s">
        <v>27</v>
      </c>
      <c r="M658" t="str">
        <f>INDEX( dim_segment!$A$2:$A$5,MATCH(L658,  dim_segment!$B$2:$B$5, 0))</f>
        <v>SEG002</v>
      </c>
      <c r="N658" t="s">
        <v>54</v>
      </c>
      <c r="O658" s="2">
        <v>5</v>
      </c>
      <c r="P658" s="2">
        <v>200000</v>
      </c>
      <c r="Q658">
        <v>0.09</v>
      </c>
      <c r="R658" s="2">
        <v>910000</v>
      </c>
    </row>
    <row r="659" spans="1:18" x14ac:dyDescent="0.25">
      <c r="A659" t="s">
        <v>744</v>
      </c>
      <c r="B659" s="1">
        <v>45652</v>
      </c>
      <c r="C659" s="1" t="s">
        <v>134</v>
      </c>
      <c r="D659" t="s">
        <v>116</v>
      </c>
      <c r="E659" t="s">
        <v>673</v>
      </c>
      <c r="F659" t="s">
        <v>674</v>
      </c>
      <c r="G659" t="s">
        <v>144</v>
      </c>
      <c r="H659" t="s">
        <v>23</v>
      </c>
      <c r="I659" t="s">
        <v>60</v>
      </c>
      <c r="J659" t="s">
        <v>61</v>
      </c>
      <c r="K659" t="s">
        <v>26</v>
      </c>
      <c r="L659" t="s">
        <v>65</v>
      </c>
      <c r="M659" t="str">
        <f>INDEX( dim_segment!$A$2:$A$5,MATCH(L659,  dim_segment!$B$2:$B$5, 0))</f>
        <v>SEG003</v>
      </c>
      <c r="N659" t="s">
        <v>33</v>
      </c>
      <c r="O659" s="2">
        <v>3</v>
      </c>
      <c r="P659" s="2">
        <v>95000</v>
      </c>
      <c r="Q659">
        <v>0.12</v>
      </c>
      <c r="R659" s="2">
        <v>250800</v>
      </c>
    </row>
    <row r="660" spans="1:18" x14ac:dyDescent="0.25">
      <c r="A660" t="s">
        <v>745</v>
      </c>
      <c r="B660" s="1">
        <v>45630</v>
      </c>
      <c r="C660" s="1" t="s">
        <v>134</v>
      </c>
      <c r="D660" t="s">
        <v>116</v>
      </c>
      <c r="E660" t="s">
        <v>673</v>
      </c>
      <c r="F660" t="s">
        <v>674</v>
      </c>
      <c r="G660" t="s">
        <v>144</v>
      </c>
      <c r="H660" t="s">
        <v>23</v>
      </c>
      <c r="I660" t="s">
        <v>24</v>
      </c>
      <c r="J660" t="s">
        <v>25</v>
      </c>
      <c r="K660" t="s">
        <v>26</v>
      </c>
      <c r="L660" t="s">
        <v>65</v>
      </c>
      <c r="M660" t="str">
        <f>INDEX( dim_segment!$A$2:$A$5,MATCH(L660,  dim_segment!$B$2:$B$5, 0))</f>
        <v>SEG003</v>
      </c>
      <c r="N660" t="s">
        <v>54</v>
      </c>
      <c r="O660" s="2">
        <v>3</v>
      </c>
      <c r="P660" s="2">
        <v>75000</v>
      </c>
      <c r="Q660">
        <v>0.14000000000000001</v>
      </c>
      <c r="R660" s="2">
        <v>193500</v>
      </c>
    </row>
    <row r="661" spans="1:18" x14ac:dyDescent="0.25">
      <c r="A661" t="s">
        <v>746</v>
      </c>
      <c r="B661" s="1">
        <v>45653</v>
      </c>
      <c r="C661" s="1" t="s">
        <v>134</v>
      </c>
      <c r="D661" t="s">
        <v>116</v>
      </c>
      <c r="E661" t="s">
        <v>673</v>
      </c>
      <c r="F661" t="s">
        <v>674</v>
      </c>
      <c r="G661" t="s">
        <v>144</v>
      </c>
      <c r="H661" t="s">
        <v>23</v>
      </c>
      <c r="I661" t="s">
        <v>75</v>
      </c>
      <c r="J661" t="s">
        <v>76</v>
      </c>
      <c r="K661" t="s">
        <v>49</v>
      </c>
      <c r="L661" t="s">
        <v>65</v>
      </c>
      <c r="M661" t="str">
        <f>INDEX( dim_segment!$A$2:$A$5,MATCH(L661,  dim_segment!$B$2:$B$5, 0))</f>
        <v>SEG003</v>
      </c>
      <c r="N661" t="s">
        <v>28</v>
      </c>
      <c r="O661" s="2">
        <v>2</v>
      </c>
      <c r="P661" s="2">
        <v>120000</v>
      </c>
      <c r="Q661">
        <v>0.11</v>
      </c>
      <c r="R661" s="2">
        <v>213600</v>
      </c>
    </row>
    <row r="662" spans="1:18" x14ac:dyDescent="0.25">
      <c r="A662" t="s">
        <v>747</v>
      </c>
      <c r="B662" s="1">
        <v>45639</v>
      </c>
      <c r="C662" s="1" t="s">
        <v>134</v>
      </c>
      <c r="D662" t="s">
        <v>116</v>
      </c>
      <c r="E662" t="s">
        <v>673</v>
      </c>
      <c r="F662" t="s">
        <v>674</v>
      </c>
      <c r="G662" t="s">
        <v>144</v>
      </c>
      <c r="H662" t="s">
        <v>23</v>
      </c>
      <c r="I662" t="s">
        <v>35</v>
      </c>
      <c r="J662" t="s">
        <v>36</v>
      </c>
      <c r="K662" t="s">
        <v>32</v>
      </c>
      <c r="L662" t="s">
        <v>43</v>
      </c>
      <c r="M662" t="str">
        <f>INDEX( dim_segment!$A$2:$A$5,MATCH(L662,  dim_segment!$B$2:$B$5, 0))</f>
        <v>SEG004</v>
      </c>
      <c r="N662" t="s">
        <v>28</v>
      </c>
      <c r="O662" s="2">
        <v>2</v>
      </c>
      <c r="P662" s="2">
        <v>45000</v>
      </c>
      <c r="Q662">
        <v>0.09</v>
      </c>
      <c r="R662" s="2">
        <v>81900</v>
      </c>
    </row>
    <row r="663" spans="1:18" x14ac:dyDescent="0.25">
      <c r="A663" t="s">
        <v>748</v>
      </c>
      <c r="B663" s="1">
        <v>45309</v>
      </c>
      <c r="C663" s="1" t="s">
        <v>18</v>
      </c>
      <c r="D663" t="s">
        <v>19</v>
      </c>
      <c r="E663" t="s">
        <v>749</v>
      </c>
      <c r="F663" t="s">
        <v>750</v>
      </c>
      <c r="G663" t="s">
        <v>343</v>
      </c>
      <c r="H663" t="s">
        <v>27</v>
      </c>
      <c r="I663" t="s">
        <v>24</v>
      </c>
      <c r="J663" t="s">
        <v>25</v>
      </c>
      <c r="K663" t="s">
        <v>26</v>
      </c>
      <c r="L663" t="s">
        <v>43</v>
      </c>
      <c r="M663" t="str">
        <f>INDEX( dim_segment!$A$2:$A$5,MATCH(L663,  dim_segment!$B$2:$B$5, 0))</f>
        <v>SEG004</v>
      </c>
      <c r="N663" t="s">
        <v>54</v>
      </c>
      <c r="O663" s="2">
        <v>1</v>
      </c>
      <c r="P663" s="2">
        <v>75000</v>
      </c>
      <c r="Q663">
        <v>0.05</v>
      </c>
      <c r="R663" s="2">
        <v>71200</v>
      </c>
    </row>
    <row r="664" spans="1:18" x14ac:dyDescent="0.25">
      <c r="A664" t="s">
        <v>751</v>
      </c>
      <c r="B664" s="1">
        <v>45303</v>
      </c>
      <c r="C664" s="1" t="s">
        <v>18</v>
      </c>
      <c r="D664" t="s">
        <v>19</v>
      </c>
      <c r="E664" t="s">
        <v>749</v>
      </c>
      <c r="F664" t="s">
        <v>750</v>
      </c>
      <c r="G664" t="s">
        <v>343</v>
      </c>
      <c r="H664" t="s">
        <v>27</v>
      </c>
      <c r="I664" t="s">
        <v>30</v>
      </c>
      <c r="J664" t="s">
        <v>31</v>
      </c>
      <c r="K664" t="s">
        <v>32</v>
      </c>
      <c r="L664" t="s">
        <v>43</v>
      </c>
      <c r="M664" t="str">
        <f>INDEX( dim_segment!$A$2:$A$5,MATCH(L664,  dim_segment!$B$2:$B$5, 0))</f>
        <v>SEG004</v>
      </c>
      <c r="N664" t="s">
        <v>28</v>
      </c>
      <c r="O664" s="2">
        <v>3</v>
      </c>
      <c r="P664" s="2">
        <v>60000</v>
      </c>
      <c r="Q664">
        <v>0.03</v>
      </c>
      <c r="R664" s="2">
        <v>174600</v>
      </c>
    </row>
    <row r="665" spans="1:18" x14ac:dyDescent="0.25">
      <c r="A665" t="s">
        <v>752</v>
      </c>
      <c r="B665" s="1">
        <v>45303</v>
      </c>
      <c r="C665" s="1" t="s">
        <v>18</v>
      </c>
      <c r="D665" t="s">
        <v>19</v>
      </c>
      <c r="E665" t="s">
        <v>749</v>
      </c>
      <c r="F665" t="s">
        <v>750</v>
      </c>
      <c r="G665" t="s">
        <v>343</v>
      </c>
      <c r="H665" t="s">
        <v>27</v>
      </c>
      <c r="I665" t="s">
        <v>51</v>
      </c>
      <c r="J665" t="s">
        <v>52</v>
      </c>
      <c r="K665" t="s">
        <v>42</v>
      </c>
      <c r="L665" t="s">
        <v>65</v>
      </c>
      <c r="M665" t="str">
        <f>INDEX( dim_segment!$A$2:$A$5,MATCH(L665,  dim_segment!$B$2:$B$5, 0))</f>
        <v>SEG003</v>
      </c>
      <c r="N665" t="s">
        <v>54</v>
      </c>
      <c r="O665" s="2">
        <v>4</v>
      </c>
      <c r="P665" s="2">
        <v>150000</v>
      </c>
      <c r="Q665">
        <v>0.1</v>
      </c>
      <c r="R665" s="2">
        <v>540000</v>
      </c>
    </row>
    <row r="666" spans="1:18" x14ac:dyDescent="0.25">
      <c r="A666" t="s">
        <v>753</v>
      </c>
      <c r="B666" s="1">
        <v>45292</v>
      </c>
      <c r="C666" s="1" t="s">
        <v>18</v>
      </c>
      <c r="D666" t="s">
        <v>19</v>
      </c>
      <c r="E666" t="s">
        <v>749</v>
      </c>
      <c r="F666" t="s">
        <v>750</v>
      </c>
      <c r="G666" t="s">
        <v>343</v>
      </c>
      <c r="H666" t="s">
        <v>27</v>
      </c>
      <c r="I666" t="s">
        <v>35</v>
      </c>
      <c r="J666" t="s">
        <v>36</v>
      </c>
      <c r="K666" t="s">
        <v>32</v>
      </c>
      <c r="L666" t="s">
        <v>23</v>
      </c>
      <c r="M666" t="str">
        <f>INDEX( dim_segment!$A$2:$A$5,MATCH(L666,  dim_segment!$B$2:$B$5, 0))</f>
        <v>SEG001</v>
      </c>
      <c r="N666" t="s">
        <v>54</v>
      </c>
      <c r="O666" s="2">
        <v>3</v>
      </c>
      <c r="P666" s="2">
        <v>45000</v>
      </c>
      <c r="Q666">
        <v>0</v>
      </c>
      <c r="R666" s="2">
        <v>135000</v>
      </c>
    </row>
    <row r="667" spans="1:18" x14ac:dyDescent="0.25">
      <c r="A667" t="s">
        <v>754</v>
      </c>
      <c r="B667" s="1">
        <v>45317</v>
      </c>
      <c r="C667" s="1" t="s">
        <v>18</v>
      </c>
      <c r="D667" t="s">
        <v>19</v>
      </c>
      <c r="E667" t="s">
        <v>749</v>
      </c>
      <c r="F667" t="s">
        <v>750</v>
      </c>
      <c r="G667" t="s">
        <v>343</v>
      </c>
      <c r="H667" t="s">
        <v>27</v>
      </c>
      <c r="I667" t="s">
        <v>75</v>
      </c>
      <c r="J667" t="s">
        <v>76</v>
      </c>
      <c r="K667" t="s">
        <v>49</v>
      </c>
      <c r="L667" t="s">
        <v>43</v>
      </c>
      <c r="M667" t="str">
        <f>INDEX( dim_segment!$A$2:$A$5,MATCH(L667,  dim_segment!$B$2:$B$5, 0))</f>
        <v>SEG004</v>
      </c>
      <c r="N667" t="s">
        <v>37</v>
      </c>
      <c r="O667" s="2">
        <v>5</v>
      </c>
      <c r="P667" s="2">
        <v>120000</v>
      </c>
      <c r="Q667">
        <v>0.11</v>
      </c>
      <c r="R667" s="2">
        <v>534000</v>
      </c>
    </row>
    <row r="668" spans="1:18" x14ac:dyDescent="0.25">
      <c r="A668" t="s">
        <v>755</v>
      </c>
      <c r="B668" s="1">
        <v>45314</v>
      </c>
      <c r="C668" s="1" t="s">
        <v>18</v>
      </c>
      <c r="D668" t="s">
        <v>19</v>
      </c>
      <c r="E668" t="s">
        <v>749</v>
      </c>
      <c r="F668" t="s">
        <v>750</v>
      </c>
      <c r="G668" t="s">
        <v>343</v>
      </c>
      <c r="H668" t="s">
        <v>27</v>
      </c>
      <c r="I668" t="s">
        <v>47</v>
      </c>
      <c r="J668" t="s">
        <v>48</v>
      </c>
      <c r="K668" t="s">
        <v>49</v>
      </c>
      <c r="L668" t="s">
        <v>43</v>
      </c>
      <c r="M668" t="str">
        <f>INDEX( dim_segment!$A$2:$A$5,MATCH(L668,  dim_segment!$B$2:$B$5, 0))</f>
        <v>SEG004</v>
      </c>
      <c r="N668" t="s">
        <v>28</v>
      </c>
      <c r="O668" s="2">
        <v>2</v>
      </c>
      <c r="P668" s="2">
        <v>200000</v>
      </c>
      <c r="Q668">
        <v>0.1</v>
      </c>
      <c r="R668" s="2">
        <v>360000</v>
      </c>
    </row>
    <row r="669" spans="1:18" x14ac:dyDescent="0.25">
      <c r="A669" t="s">
        <v>756</v>
      </c>
      <c r="B669" s="1">
        <v>45302</v>
      </c>
      <c r="C669" s="1" t="s">
        <v>18</v>
      </c>
      <c r="D669" t="s">
        <v>19</v>
      </c>
      <c r="E669" t="s">
        <v>749</v>
      </c>
      <c r="F669" t="s">
        <v>750</v>
      </c>
      <c r="G669" t="s">
        <v>343</v>
      </c>
      <c r="H669" t="s">
        <v>27</v>
      </c>
      <c r="I669" t="s">
        <v>60</v>
      </c>
      <c r="J669" t="s">
        <v>61</v>
      </c>
      <c r="K669" t="s">
        <v>26</v>
      </c>
      <c r="L669" t="s">
        <v>27</v>
      </c>
      <c r="M669" t="str">
        <f>INDEX( dim_segment!$A$2:$A$5,MATCH(L669,  dim_segment!$B$2:$B$5, 0))</f>
        <v>SEG002</v>
      </c>
      <c r="N669" t="s">
        <v>54</v>
      </c>
      <c r="O669" s="2">
        <v>1</v>
      </c>
      <c r="P669" s="2">
        <v>95000</v>
      </c>
      <c r="Q669">
        <v>0.09</v>
      </c>
      <c r="R669" s="2">
        <v>86400</v>
      </c>
    </row>
    <row r="670" spans="1:18" x14ac:dyDescent="0.25">
      <c r="A670" t="s">
        <v>757</v>
      </c>
      <c r="B670" s="1">
        <v>45334</v>
      </c>
      <c r="C670" s="1" t="s">
        <v>46</v>
      </c>
      <c r="D670" t="s">
        <v>19</v>
      </c>
      <c r="E670" t="s">
        <v>749</v>
      </c>
      <c r="F670" t="s">
        <v>750</v>
      </c>
      <c r="G670" t="s">
        <v>343</v>
      </c>
      <c r="H670" t="s">
        <v>27</v>
      </c>
      <c r="I670" t="s">
        <v>40</v>
      </c>
      <c r="J670" t="s">
        <v>41</v>
      </c>
      <c r="K670" t="s">
        <v>42</v>
      </c>
      <c r="L670" t="s">
        <v>27</v>
      </c>
      <c r="M670" t="str">
        <f>INDEX( dim_segment!$A$2:$A$5,MATCH(L670,  dim_segment!$B$2:$B$5, 0))</f>
        <v>SEG002</v>
      </c>
      <c r="N670" t="s">
        <v>28</v>
      </c>
      <c r="O670" s="2">
        <v>3</v>
      </c>
      <c r="P670" s="2">
        <v>85000</v>
      </c>
      <c r="Q670">
        <v>0.03</v>
      </c>
      <c r="R670" s="2">
        <v>247400</v>
      </c>
    </row>
    <row r="671" spans="1:18" x14ac:dyDescent="0.25">
      <c r="A671" t="s">
        <v>758</v>
      </c>
      <c r="B671" s="1">
        <v>45328</v>
      </c>
      <c r="C671" s="1" t="s">
        <v>46</v>
      </c>
      <c r="D671" t="s">
        <v>19</v>
      </c>
      <c r="E671" t="s">
        <v>749</v>
      </c>
      <c r="F671" t="s">
        <v>750</v>
      </c>
      <c r="G671" t="s">
        <v>343</v>
      </c>
      <c r="H671" t="s">
        <v>27</v>
      </c>
      <c r="I671" t="s">
        <v>40</v>
      </c>
      <c r="J671" t="s">
        <v>41</v>
      </c>
      <c r="K671" t="s">
        <v>42</v>
      </c>
      <c r="L671" t="s">
        <v>43</v>
      </c>
      <c r="M671" t="str">
        <f>INDEX( dim_segment!$A$2:$A$5,MATCH(L671,  dim_segment!$B$2:$B$5, 0))</f>
        <v>SEG004</v>
      </c>
      <c r="N671" t="s">
        <v>33</v>
      </c>
      <c r="O671" s="2">
        <v>2</v>
      </c>
      <c r="P671" s="2">
        <v>85000</v>
      </c>
      <c r="Q671">
        <v>0.01</v>
      </c>
      <c r="R671" s="2">
        <v>168300</v>
      </c>
    </row>
    <row r="672" spans="1:18" x14ac:dyDescent="0.25">
      <c r="A672" t="s">
        <v>759</v>
      </c>
      <c r="B672" s="1">
        <v>45349</v>
      </c>
      <c r="C672" s="1" t="s">
        <v>46</v>
      </c>
      <c r="D672" t="s">
        <v>19</v>
      </c>
      <c r="E672" t="s">
        <v>749</v>
      </c>
      <c r="F672" t="s">
        <v>750</v>
      </c>
      <c r="G672" t="s">
        <v>343</v>
      </c>
      <c r="H672" t="s">
        <v>27</v>
      </c>
      <c r="I672" t="s">
        <v>75</v>
      </c>
      <c r="J672" t="s">
        <v>76</v>
      </c>
      <c r="K672" t="s">
        <v>49</v>
      </c>
      <c r="L672" t="s">
        <v>43</v>
      </c>
      <c r="M672" t="str">
        <f>INDEX( dim_segment!$A$2:$A$5,MATCH(L672,  dim_segment!$B$2:$B$5, 0))</f>
        <v>SEG004</v>
      </c>
      <c r="N672" t="s">
        <v>54</v>
      </c>
      <c r="O672" s="2">
        <v>3</v>
      </c>
      <c r="P672" s="2">
        <v>120000</v>
      </c>
      <c r="Q672">
        <v>0.02</v>
      </c>
      <c r="R672" s="2">
        <v>352800</v>
      </c>
    </row>
    <row r="673" spans="1:18" x14ac:dyDescent="0.25">
      <c r="A673" t="s">
        <v>760</v>
      </c>
      <c r="B673" s="1">
        <v>45337</v>
      </c>
      <c r="C673" s="1" t="s">
        <v>46</v>
      </c>
      <c r="D673" t="s">
        <v>19</v>
      </c>
      <c r="E673" t="s">
        <v>749</v>
      </c>
      <c r="F673" t="s">
        <v>750</v>
      </c>
      <c r="G673" t="s">
        <v>343</v>
      </c>
      <c r="H673" t="s">
        <v>27</v>
      </c>
      <c r="I673" t="s">
        <v>35</v>
      </c>
      <c r="J673" t="s">
        <v>36</v>
      </c>
      <c r="K673" t="s">
        <v>32</v>
      </c>
      <c r="L673" t="s">
        <v>65</v>
      </c>
      <c r="M673" t="str">
        <f>INDEX( dim_segment!$A$2:$A$5,MATCH(L673,  dim_segment!$B$2:$B$5, 0))</f>
        <v>SEG003</v>
      </c>
      <c r="N673" t="s">
        <v>54</v>
      </c>
      <c r="O673" s="2">
        <v>3</v>
      </c>
      <c r="P673" s="2">
        <v>45000</v>
      </c>
      <c r="Q673">
        <v>0.12</v>
      </c>
      <c r="R673" s="2">
        <v>118800</v>
      </c>
    </row>
    <row r="674" spans="1:18" x14ac:dyDescent="0.25">
      <c r="A674" t="s">
        <v>761</v>
      </c>
      <c r="B674" s="1">
        <v>45339</v>
      </c>
      <c r="C674" s="1" t="s">
        <v>46</v>
      </c>
      <c r="D674" t="s">
        <v>19</v>
      </c>
      <c r="E674" t="s">
        <v>749</v>
      </c>
      <c r="F674" t="s">
        <v>750</v>
      </c>
      <c r="G674" t="s">
        <v>343</v>
      </c>
      <c r="H674" t="s">
        <v>27</v>
      </c>
      <c r="I674" t="s">
        <v>75</v>
      </c>
      <c r="J674" t="s">
        <v>76</v>
      </c>
      <c r="K674" t="s">
        <v>49</v>
      </c>
      <c r="L674" t="s">
        <v>23</v>
      </c>
      <c r="M674" t="str">
        <f>INDEX( dim_segment!$A$2:$A$5,MATCH(L674,  dim_segment!$B$2:$B$5, 0))</f>
        <v>SEG001</v>
      </c>
      <c r="N674" t="s">
        <v>28</v>
      </c>
      <c r="O674" s="2">
        <v>2</v>
      </c>
      <c r="P674" s="2">
        <v>120000</v>
      </c>
      <c r="Q674">
        <v>7.0000000000000007E-2</v>
      </c>
      <c r="R674" s="2">
        <v>223200</v>
      </c>
    </row>
    <row r="675" spans="1:18" x14ac:dyDescent="0.25">
      <c r="A675" t="s">
        <v>762</v>
      </c>
      <c r="B675" s="1">
        <v>45355</v>
      </c>
      <c r="C675" s="1" t="s">
        <v>56</v>
      </c>
      <c r="D675" t="s">
        <v>19</v>
      </c>
      <c r="E675" t="s">
        <v>749</v>
      </c>
      <c r="F675" t="s">
        <v>750</v>
      </c>
      <c r="G675" t="s">
        <v>343</v>
      </c>
      <c r="H675" t="s">
        <v>27</v>
      </c>
      <c r="I675" t="s">
        <v>24</v>
      </c>
      <c r="J675" t="s">
        <v>25</v>
      </c>
      <c r="K675" t="s">
        <v>26</v>
      </c>
      <c r="L675" t="s">
        <v>65</v>
      </c>
      <c r="M675" t="str">
        <f>INDEX( dim_segment!$A$2:$A$5,MATCH(L675,  dim_segment!$B$2:$B$5, 0))</f>
        <v>SEG003</v>
      </c>
      <c r="N675" t="s">
        <v>28</v>
      </c>
      <c r="O675" s="2">
        <v>4</v>
      </c>
      <c r="P675" s="2">
        <v>75000</v>
      </c>
      <c r="Q675">
        <v>0.02</v>
      </c>
      <c r="R675" s="2">
        <v>294000</v>
      </c>
    </row>
    <row r="676" spans="1:18" x14ac:dyDescent="0.25">
      <c r="A676" t="s">
        <v>763</v>
      </c>
      <c r="B676" s="1">
        <v>45373</v>
      </c>
      <c r="C676" s="1" t="s">
        <v>56</v>
      </c>
      <c r="D676" t="s">
        <v>19</v>
      </c>
      <c r="E676" t="s">
        <v>749</v>
      </c>
      <c r="F676" t="s">
        <v>750</v>
      </c>
      <c r="G676" t="s">
        <v>343</v>
      </c>
      <c r="H676" t="s">
        <v>27</v>
      </c>
      <c r="I676" t="s">
        <v>30</v>
      </c>
      <c r="J676" t="s">
        <v>31</v>
      </c>
      <c r="K676" t="s">
        <v>32</v>
      </c>
      <c r="L676" t="s">
        <v>65</v>
      </c>
      <c r="M676" t="str">
        <f>INDEX( dim_segment!$A$2:$A$5,MATCH(L676,  dim_segment!$B$2:$B$5, 0))</f>
        <v>SEG003</v>
      </c>
      <c r="N676" t="s">
        <v>28</v>
      </c>
      <c r="O676" s="2">
        <v>5</v>
      </c>
      <c r="P676" s="2">
        <v>60000</v>
      </c>
      <c r="Q676">
        <v>0.12</v>
      </c>
      <c r="R676" s="2">
        <v>264000</v>
      </c>
    </row>
    <row r="677" spans="1:18" x14ac:dyDescent="0.25">
      <c r="A677" t="s">
        <v>764</v>
      </c>
      <c r="B677" s="1">
        <v>45402</v>
      </c>
      <c r="C677" s="1" t="s">
        <v>67</v>
      </c>
      <c r="D677" t="s">
        <v>68</v>
      </c>
      <c r="E677" t="s">
        <v>749</v>
      </c>
      <c r="F677" t="s">
        <v>750</v>
      </c>
      <c r="G677" t="s">
        <v>343</v>
      </c>
      <c r="H677" t="s">
        <v>27</v>
      </c>
      <c r="I677" t="s">
        <v>75</v>
      </c>
      <c r="J677" t="s">
        <v>76</v>
      </c>
      <c r="K677" t="s">
        <v>49</v>
      </c>
      <c r="L677" t="s">
        <v>65</v>
      </c>
      <c r="M677" t="str">
        <f>INDEX( dim_segment!$A$2:$A$5,MATCH(L677,  dim_segment!$B$2:$B$5, 0))</f>
        <v>SEG003</v>
      </c>
      <c r="N677" t="s">
        <v>54</v>
      </c>
      <c r="O677" s="2">
        <v>2</v>
      </c>
      <c r="P677" s="2">
        <v>120000</v>
      </c>
      <c r="Q677">
        <v>0.02</v>
      </c>
      <c r="R677" s="2">
        <v>235200</v>
      </c>
    </row>
    <row r="678" spans="1:18" x14ac:dyDescent="0.25">
      <c r="A678" t="s">
        <v>765</v>
      </c>
      <c r="B678" s="1">
        <v>45387</v>
      </c>
      <c r="C678" s="1" t="s">
        <v>67</v>
      </c>
      <c r="D678" t="s">
        <v>68</v>
      </c>
      <c r="E678" t="s">
        <v>749</v>
      </c>
      <c r="F678" t="s">
        <v>750</v>
      </c>
      <c r="G678" t="s">
        <v>343</v>
      </c>
      <c r="H678" t="s">
        <v>27</v>
      </c>
      <c r="I678" t="s">
        <v>51</v>
      </c>
      <c r="J678" t="s">
        <v>52</v>
      </c>
      <c r="K678" t="s">
        <v>42</v>
      </c>
      <c r="L678" t="s">
        <v>65</v>
      </c>
      <c r="M678" t="str">
        <f>INDEX( dim_segment!$A$2:$A$5,MATCH(L678,  dim_segment!$B$2:$B$5, 0))</f>
        <v>SEG003</v>
      </c>
      <c r="N678" t="s">
        <v>28</v>
      </c>
      <c r="O678" s="2">
        <v>5</v>
      </c>
      <c r="P678" s="2">
        <v>150000</v>
      </c>
      <c r="Q678">
        <v>0.06</v>
      </c>
      <c r="R678" s="2">
        <v>705000</v>
      </c>
    </row>
    <row r="679" spans="1:18" x14ac:dyDescent="0.25">
      <c r="A679" t="s">
        <v>766</v>
      </c>
      <c r="B679" s="1">
        <v>45408</v>
      </c>
      <c r="C679" s="1" t="s">
        <v>67</v>
      </c>
      <c r="D679" t="s">
        <v>68</v>
      </c>
      <c r="E679" t="s">
        <v>749</v>
      </c>
      <c r="F679" t="s">
        <v>750</v>
      </c>
      <c r="G679" t="s">
        <v>343</v>
      </c>
      <c r="H679" t="s">
        <v>27</v>
      </c>
      <c r="I679" t="s">
        <v>35</v>
      </c>
      <c r="J679" t="s">
        <v>36</v>
      </c>
      <c r="K679" t="s">
        <v>32</v>
      </c>
      <c r="L679" t="s">
        <v>23</v>
      </c>
      <c r="M679" t="str">
        <f>INDEX( dim_segment!$A$2:$A$5,MATCH(L679,  dim_segment!$B$2:$B$5, 0))</f>
        <v>SEG001</v>
      </c>
      <c r="N679" t="s">
        <v>37</v>
      </c>
      <c r="O679" s="2">
        <v>5</v>
      </c>
      <c r="P679" s="2">
        <v>45000</v>
      </c>
      <c r="Q679">
        <v>0.01</v>
      </c>
      <c r="R679" s="2">
        <v>222800</v>
      </c>
    </row>
    <row r="680" spans="1:18" x14ac:dyDescent="0.25">
      <c r="A680" t="s">
        <v>767</v>
      </c>
      <c r="B680" s="1">
        <v>45396</v>
      </c>
      <c r="C680" s="1" t="s">
        <v>67</v>
      </c>
      <c r="D680" t="s">
        <v>68</v>
      </c>
      <c r="E680" t="s">
        <v>749</v>
      </c>
      <c r="F680" t="s">
        <v>750</v>
      </c>
      <c r="G680" t="s">
        <v>343</v>
      </c>
      <c r="H680" t="s">
        <v>27</v>
      </c>
      <c r="I680" t="s">
        <v>60</v>
      </c>
      <c r="J680" t="s">
        <v>61</v>
      </c>
      <c r="K680" t="s">
        <v>26</v>
      </c>
      <c r="L680" t="s">
        <v>43</v>
      </c>
      <c r="M680" t="str">
        <f>INDEX( dim_segment!$A$2:$A$5,MATCH(L680,  dim_segment!$B$2:$B$5, 0))</f>
        <v>SEG004</v>
      </c>
      <c r="N680" t="s">
        <v>33</v>
      </c>
      <c r="O680" s="2">
        <v>3</v>
      </c>
      <c r="P680" s="2">
        <v>95000</v>
      </c>
      <c r="Q680">
        <v>0.01</v>
      </c>
      <c r="R680" s="2">
        <v>282200</v>
      </c>
    </row>
    <row r="681" spans="1:18" x14ac:dyDescent="0.25">
      <c r="A681" t="s">
        <v>768</v>
      </c>
      <c r="B681" s="1">
        <v>45402</v>
      </c>
      <c r="C681" s="1" t="s">
        <v>67</v>
      </c>
      <c r="D681" t="s">
        <v>68</v>
      </c>
      <c r="E681" t="s">
        <v>749</v>
      </c>
      <c r="F681" t="s">
        <v>750</v>
      </c>
      <c r="G681" t="s">
        <v>343</v>
      </c>
      <c r="H681" t="s">
        <v>27</v>
      </c>
      <c r="I681" t="s">
        <v>51</v>
      </c>
      <c r="J681" t="s">
        <v>52</v>
      </c>
      <c r="K681" t="s">
        <v>42</v>
      </c>
      <c r="L681" t="s">
        <v>23</v>
      </c>
      <c r="M681" t="str">
        <f>INDEX( dim_segment!$A$2:$A$5,MATCH(L681,  dim_segment!$B$2:$B$5, 0))</f>
        <v>SEG001</v>
      </c>
      <c r="N681" t="s">
        <v>37</v>
      </c>
      <c r="O681" s="2">
        <v>2</v>
      </c>
      <c r="P681" s="2">
        <v>150000</v>
      </c>
      <c r="Q681">
        <v>0.03</v>
      </c>
      <c r="R681" s="2">
        <v>291000</v>
      </c>
    </row>
    <row r="682" spans="1:18" x14ac:dyDescent="0.25">
      <c r="A682" t="s">
        <v>769</v>
      </c>
      <c r="B682" s="1">
        <v>45417</v>
      </c>
      <c r="C682" s="1" t="s">
        <v>78</v>
      </c>
      <c r="D682" t="s">
        <v>68</v>
      </c>
      <c r="E682" t="s">
        <v>749</v>
      </c>
      <c r="F682" t="s">
        <v>750</v>
      </c>
      <c r="G682" t="s">
        <v>343</v>
      </c>
      <c r="H682" t="s">
        <v>27</v>
      </c>
      <c r="I682" t="s">
        <v>47</v>
      </c>
      <c r="J682" t="s">
        <v>48</v>
      </c>
      <c r="K682" t="s">
        <v>49</v>
      </c>
      <c r="L682" t="s">
        <v>65</v>
      </c>
      <c r="M682" t="str">
        <f>INDEX( dim_segment!$A$2:$A$5,MATCH(L682,  dim_segment!$B$2:$B$5, 0))</f>
        <v>SEG003</v>
      </c>
      <c r="N682" t="s">
        <v>54</v>
      </c>
      <c r="O682" s="2">
        <v>2</v>
      </c>
      <c r="P682" s="2">
        <v>200000</v>
      </c>
      <c r="Q682">
        <v>0.02</v>
      </c>
      <c r="R682" s="2">
        <v>392000</v>
      </c>
    </row>
    <row r="683" spans="1:18" x14ac:dyDescent="0.25">
      <c r="A683" t="s">
        <v>770</v>
      </c>
      <c r="B683" s="1">
        <v>45413</v>
      </c>
      <c r="C683" s="1" t="s">
        <v>78</v>
      </c>
      <c r="D683" t="s">
        <v>68</v>
      </c>
      <c r="E683" t="s">
        <v>749</v>
      </c>
      <c r="F683" t="s">
        <v>750</v>
      </c>
      <c r="G683" t="s">
        <v>343</v>
      </c>
      <c r="H683" t="s">
        <v>27</v>
      </c>
      <c r="I683" t="s">
        <v>47</v>
      </c>
      <c r="J683" t="s">
        <v>48</v>
      </c>
      <c r="K683" t="s">
        <v>49</v>
      </c>
      <c r="L683" t="s">
        <v>23</v>
      </c>
      <c r="M683" t="str">
        <f>INDEX( dim_segment!$A$2:$A$5,MATCH(L683,  dim_segment!$B$2:$B$5, 0))</f>
        <v>SEG001</v>
      </c>
      <c r="N683" t="s">
        <v>37</v>
      </c>
      <c r="O683" s="2">
        <v>5</v>
      </c>
      <c r="P683" s="2">
        <v>200000</v>
      </c>
      <c r="Q683">
        <v>0.01</v>
      </c>
      <c r="R683" s="2">
        <v>990000</v>
      </c>
    </row>
    <row r="684" spans="1:18" x14ac:dyDescent="0.25">
      <c r="A684" t="s">
        <v>771</v>
      </c>
      <c r="B684" s="1">
        <v>45416</v>
      </c>
      <c r="C684" s="1" t="s">
        <v>78</v>
      </c>
      <c r="D684" t="s">
        <v>68</v>
      </c>
      <c r="E684" t="s">
        <v>749</v>
      </c>
      <c r="F684" t="s">
        <v>750</v>
      </c>
      <c r="G684" t="s">
        <v>343</v>
      </c>
      <c r="H684" t="s">
        <v>27</v>
      </c>
      <c r="I684" t="s">
        <v>35</v>
      </c>
      <c r="J684" t="s">
        <v>36</v>
      </c>
      <c r="K684" t="s">
        <v>32</v>
      </c>
      <c r="L684" t="s">
        <v>23</v>
      </c>
      <c r="M684" t="str">
        <f>INDEX( dim_segment!$A$2:$A$5,MATCH(L684,  dim_segment!$B$2:$B$5, 0))</f>
        <v>SEG001</v>
      </c>
      <c r="N684" t="s">
        <v>28</v>
      </c>
      <c r="O684" s="2">
        <v>3</v>
      </c>
      <c r="P684" s="2">
        <v>45000</v>
      </c>
      <c r="Q684">
        <v>0.02</v>
      </c>
      <c r="R684" s="2">
        <v>132300</v>
      </c>
    </row>
    <row r="685" spans="1:18" x14ac:dyDescent="0.25">
      <c r="A685" t="s">
        <v>772</v>
      </c>
      <c r="B685" s="1">
        <v>45433</v>
      </c>
      <c r="C685" s="1" t="s">
        <v>78</v>
      </c>
      <c r="D685" t="s">
        <v>68</v>
      </c>
      <c r="E685" t="s">
        <v>749</v>
      </c>
      <c r="F685" t="s">
        <v>750</v>
      </c>
      <c r="G685" t="s">
        <v>343</v>
      </c>
      <c r="H685" t="s">
        <v>27</v>
      </c>
      <c r="I685" t="s">
        <v>24</v>
      </c>
      <c r="J685" t="s">
        <v>25</v>
      </c>
      <c r="K685" t="s">
        <v>26</v>
      </c>
      <c r="L685" t="s">
        <v>23</v>
      </c>
      <c r="M685" t="str">
        <f>INDEX( dim_segment!$A$2:$A$5,MATCH(L685,  dim_segment!$B$2:$B$5, 0))</f>
        <v>SEG001</v>
      </c>
      <c r="N685" t="s">
        <v>54</v>
      </c>
      <c r="O685" s="2">
        <v>2</v>
      </c>
      <c r="P685" s="2">
        <v>75000</v>
      </c>
      <c r="Q685">
        <v>0.12</v>
      </c>
      <c r="R685" s="2">
        <v>132000</v>
      </c>
    </row>
    <row r="686" spans="1:18" x14ac:dyDescent="0.25">
      <c r="A686" t="s">
        <v>773</v>
      </c>
      <c r="B686" s="1">
        <v>45430</v>
      </c>
      <c r="C686" s="1" t="s">
        <v>78</v>
      </c>
      <c r="D686" t="s">
        <v>68</v>
      </c>
      <c r="E686" t="s">
        <v>749</v>
      </c>
      <c r="F686" t="s">
        <v>750</v>
      </c>
      <c r="G686" t="s">
        <v>343</v>
      </c>
      <c r="H686" t="s">
        <v>27</v>
      </c>
      <c r="I686" t="s">
        <v>60</v>
      </c>
      <c r="J686" t="s">
        <v>61</v>
      </c>
      <c r="K686" t="s">
        <v>26</v>
      </c>
      <c r="L686" t="s">
        <v>65</v>
      </c>
      <c r="M686" t="str">
        <f>INDEX( dim_segment!$A$2:$A$5,MATCH(L686,  dim_segment!$B$2:$B$5, 0))</f>
        <v>SEG003</v>
      </c>
      <c r="N686" t="s">
        <v>33</v>
      </c>
      <c r="O686" s="2">
        <v>5</v>
      </c>
      <c r="P686" s="2">
        <v>95000</v>
      </c>
      <c r="Q686">
        <v>0.09</v>
      </c>
      <c r="R686" s="2">
        <v>432200</v>
      </c>
    </row>
    <row r="687" spans="1:18" x14ac:dyDescent="0.25">
      <c r="A687" t="s">
        <v>774</v>
      </c>
      <c r="B687" s="1">
        <v>45450</v>
      </c>
      <c r="C687" s="1" t="s">
        <v>84</v>
      </c>
      <c r="D687" t="s">
        <v>68</v>
      </c>
      <c r="E687" t="s">
        <v>749</v>
      </c>
      <c r="F687" t="s">
        <v>750</v>
      </c>
      <c r="G687" t="s">
        <v>343</v>
      </c>
      <c r="H687" t="s">
        <v>27</v>
      </c>
      <c r="I687" t="s">
        <v>35</v>
      </c>
      <c r="J687" t="s">
        <v>36</v>
      </c>
      <c r="K687" t="s">
        <v>32</v>
      </c>
      <c r="L687" t="s">
        <v>43</v>
      </c>
      <c r="M687" t="str">
        <f>INDEX( dim_segment!$A$2:$A$5,MATCH(L687,  dim_segment!$B$2:$B$5, 0))</f>
        <v>SEG004</v>
      </c>
      <c r="N687" t="s">
        <v>28</v>
      </c>
      <c r="O687" s="2">
        <v>3</v>
      </c>
      <c r="P687" s="2">
        <v>45000</v>
      </c>
      <c r="Q687">
        <v>0.04</v>
      </c>
      <c r="R687" s="2">
        <v>129600</v>
      </c>
    </row>
    <row r="688" spans="1:18" x14ac:dyDescent="0.25">
      <c r="A688" t="s">
        <v>775</v>
      </c>
      <c r="B688" s="1">
        <v>45469</v>
      </c>
      <c r="C688" s="1" t="s">
        <v>84</v>
      </c>
      <c r="D688" t="s">
        <v>68</v>
      </c>
      <c r="E688" t="s">
        <v>749</v>
      </c>
      <c r="F688" t="s">
        <v>750</v>
      </c>
      <c r="G688" t="s">
        <v>343</v>
      </c>
      <c r="H688" t="s">
        <v>27</v>
      </c>
      <c r="I688" t="s">
        <v>30</v>
      </c>
      <c r="J688" t="s">
        <v>31</v>
      </c>
      <c r="K688" t="s">
        <v>32</v>
      </c>
      <c r="L688" t="s">
        <v>23</v>
      </c>
      <c r="M688" t="str">
        <f>INDEX( dim_segment!$A$2:$A$5,MATCH(L688,  dim_segment!$B$2:$B$5, 0))</f>
        <v>SEG001</v>
      </c>
      <c r="N688" t="s">
        <v>37</v>
      </c>
      <c r="O688" s="2">
        <v>1</v>
      </c>
      <c r="P688" s="2">
        <v>60000</v>
      </c>
      <c r="Q688">
        <v>0</v>
      </c>
      <c r="R688" s="2">
        <v>60000</v>
      </c>
    </row>
    <row r="689" spans="1:18" x14ac:dyDescent="0.25">
      <c r="A689" t="s">
        <v>776</v>
      </c>
      <c r="B689" s="1">
        <v>45453</v>
      </c>
      <c r="C689" s="1" t="s">
        <v>84</v>
      </c>
      <c r="D689" t="s">
        <v>68</v>
      </c>
      <c r="E689" t="s">
        <v>749</v>
      </c>
      <c r="F689" t="s">
        <v>750</v>
      </c>
      <c r="G689" t="s">
        <v>343</v>
      </c>
      <c r="H689" t="s">
        <v>27</v>
      </c>
      <c r="I689" t="s">
        <v>40</v>
      </c>
      <c r="J689" t="s">
        <v>41</v>
      </c>
      <c r="K689" t="s">
        <v>42</v>
      </c>
      <c r="L689" t="s">
        <v>23</v>
      </c>
      <c r="M689" t="str">
        <f>INDEX( dim_segment!$A$2:$A$5,MATCH(L689,  dim_segment!$B$2:$B$5, 0))</f>
        <v>SEG001</v>
      </c>
      <c r="N689" t="s">
        <v>37</v>
      </c>
      <c r="O689" s="2">
        <v>5</v>
      </c>
      <c r="P689" s="2">
        <v>85000</v>
      </c>
      <c r="Q689">
        <v>0.11</v>
      </c>
      <c r="R689" s="2">
        <v>378200</v>
      </c>
    </row>
    <row r="690" spans="1:18" x14ac:dyDescent="0.25">
      <c r="A690" t="s">
        <v>777</v>
      </c>
      <c r="B690" s="1">
        <v>45466</v>
      </c>
      <c r="C690" s="1" t="s">
        <v>84</v>
      </c>
      <c r="D690" t="s">
        <v>68</v>
      </c>
      <c r="E690" t="s">
        <v>749</v>
      </c>
      <c r="F690" t="s">
        <v>750</v>
      </c>
      <c r="G690" t="s">
        <v>343</v>
      </c>
      <c r="H690" t="s">
        <v>27</v>
      </c>
      <c r="I690" t="s">
        <v>30</v>
      </c>
      <c r="J690" t="s">
        <v>31</v>
      </c>
      <c r="K690" t="s">
        <v>32</v>
      </c>
      <c r="L690" t="s">
        <v>23</v>
      </c>
      <c r="M690" t="str">
        <f>INDEX( dim_segment!$A$2:$A$5,MATCH(L690,  dim_segment!$B$2:$B$5, 0))</f>
        <v>SEG001</v>
      </c>
      <c r="N690" t="s">
        <v>28</v>
      </c>
      <c r="O690" s="2">
        <v>5</v>
      </c>
      <c r="P690" s="2">
        <v>60000</v>
      </c>
      <c r="Q690">
        <v>0.11</v>
      </c>
      <c r="R690" s="2">
        <v>267000</v>
      </c>
    </row>
    <row r="691" spans="1:18" x14ac:dyDescent="0.25">
      <c r="A691" t="s">
        <v>778</v>
      </c>
      <c r="B691" s="1">
        <v>45456</v>
      </c>
      <c r="C691" s="1" t="s">
        <v>84</v>
      </c>
      <c r="D691" t="s">
        <v>68</v>
      </c>
      <c r="E691" t="s">
        <v>749</v>
      </c>
      <c r="F691" t="s">
        <v>750</v>
      </c>
      <c r="G691" t="s">
        <v>343</v>
      </c>
      <c r="H691" t="s">
        <v>27</v>
      </c>
      <c r="I691" t="s">
        <v>47</v>
      </c>
      <c r="J691" t="s">
        <v>48</v>
      </c>
      <c r="K691" t="s">
        <v>49</v>
      </c>
      <c r="L691" t="s">
        <v>23</v>
      </c>
      <c r="M691" t="str">
        <f>INDEX( dim_segment!$A$2:$A$5,MATCH(L691,  dim_segment!$B$2:$B$5, 0))</f>
        <v>SEG001</v>
      </c>
      <c r="N691" t="s">
        <v>37</v>
      </c>
      <c r="O691" s="2">
        <v>1</v>
      </c>
      <c r="P691" s="2">
        <v>200000</v>
      </c>
      <c r="Q691">
        <v>0.03</v>
      </c>
      <c r="R691" s="2">
        <v>194000</v>
      </c>
    </row>
    <row r="692" spans="1:18" x14ac:dyDescent="0.25">
      <c r="A692" t="s">
        <v>779</v>
      </c>
      <c r="B692" s="1">
        <v>45458</v>
      </c>
      <c r="C692" s="1" t="s">
        <v>84</v>
      </c>
      <c r="D692" t="s">
        <v>68</v>
      </c>
      <c r="E692" t="s">
        <v>749</v>
      </c>
      <c r="F692" t="s">
        <v>750</v>
      </c>
      <c r="G692" t="s">
        <v>343</v>
      </c>
      <c r="H692" t="s">
        <v>27</v>
      </c>
      <c r="I692" t="s">
        <v>60</v>
      </c>
      <c r="J692" t="s">
        <v>61</v>
      </c>
      <c r="K692" t="s">
        <v>26</v>
      </c>
      <c r="L692" t="s">
        <v>65</v>
      </c>
      <c r="M692" t="str">
        <f>INDEX( dim_segment!$A$2:$A$5,MATCH(L692,  dim_segment!$B$2:$B$5, 0))</f>
        <v>SEG003</v>
      </c>
      <c r="N692" t="s">
        <v>28</v>
      </c>
      <c r="O692" s="2">
        <v>3</v>
      </c>
      <c r="P692" s="2">
        <v>95000</v>
      </c>
      <c r="Q692">
        <v>0.06</v>
      </c>
      <c r="R692" s="2">
        <v>267900</v>
      </c>
    </row>
    <row r="693" spans="1:18" x14ac:dyDescent="0.25">
      <c r="A693" t="s">
        <v>780</v>
      </c>
      <c r="B693" s="1">
        <v>45476</v>
      </c>
      <c r="C693" s="1" t="s">
        <v>92</v>
      </c>
      <c r="D693" t="s">
        <v>93</v>
      </c>
      <c r="E693" t="s">
        <v>749</v>
      </c>
      <c r="F693" t="s">
        <v>750</v>
      </c>
      <c r="G693" t="s">
        <v>343</v>
      </c>
      <c r="H693" t="s">
        <v>27</v>
      </c>
      <c r="I693" t="s">
        <v>24</v>
      </c>
      <c r="J693" t="s">
        <v>25</v>
      </c>
      <c r="K693" t="s">
        <v>26</v>
      </c>
      <c r="L693" t="s">
        <v>43</v>
      </c>
      <c r="M693" t="str">
        <f>INDEX( dim_segment!$A$2:$A$5,MATCH(L693,  dim_segment!$B$2:$B$5, 0))</f>
        <v>SEG004</v>
      </c>
      <c r="N693" t="s">
        <v>37</v>
      </c>
      <c r="O693" s="2">
        <v>3</v>
      </c>
      <c r="P693" s="2">
        <v>75000</v>
      </c>
      <c r="Q693">
        <v>0.09</v>
      </c>
      <c r="R693" s="2">
        <v>204800</v>
      </c>
    </row>
    <row r="694" spans="1:18" x14ac:dyDescent="0.25">
      <c r="A694" t="s">
        <v>781</v>
      </c>
      <c r="B694" s="1">
        <v>45494</v>
      </c>
      <c r="C694" s="1" t="s">
        <v>92</v>
      </c>
      <c r="D694" t="s">
        <v>93</v>
      </c>
      <c r="E694" t="s">
        <v>749</v>
      </c>
      <c r="F694" t="s">
        <v>750</v>
      </c>
      <c r="G694" t="s">
        <v>343</v>
      </c>
      <c r="H694" t="s">
        <v>27</v>
      </c>
      <c r="I694" t="s">
        <v>47</v>
      </c>
      <c r="J694" t="s">
        <v>48</v>
      </c>
      <c r="K694" t="s">
        <v>49</v>
      </c>
      <c r="L694" t="s">
        <v>27</v>
      </c>
      <c r="M694" t="str">
        <f>INDEX( dim_segment!$A$2:$A$5,MATCH(L694,  dim_segment!$B$2:$B$5, 0))</f>
        <v>SEG002</v>
      </c>
      <c r="N694" t="s">
        <v>37</v>
      </c>
      <c r="O694" s="2">
        <v>2</v>
      </c>
      <c r="P694" s="2">
        <v>200000</v>
      </c>
      <c r="Q694">
        <v>0.06</v>
      </c>
      <c r="R694" s="2">
        <v>376000</v>
      </c>
    </row>
    <row r="695" spans="1:18" x14ac:dyDescent="0.25">
      <c r="A695" t="s">
        <v>782</v>
      </c>
      <c r="B695" s="1">
        <v>45474</v>
      </c>
      <c r="C695" s="1" t="s">
        <v>92</v>
      </c>
      <c r="D695" t="s">
        <v>93</v>
      </c>
      <c r="E695" t="s">
        <v>749</v>
      </c>
      <c r="F695" t="s">
        <v>750</v>
      </c>
      <c r="G695" t="s">
        <v>343</v>
      </c>
      <c r="H695" t="s">
        <v>27</v>
      </c>
      <c r="I695" t="s">
        <v>35</v>
      </c>
      <c r="J695" t="s">
        <v>36</v>
      </c>
      <c r="K695" t="s">
        <v>32</v>
      </c>
      <c r="L695" t="s">
        <v>65</v>
      </c>
      <c r="M695" t="str">
        <f>INDEX( dim_segment!$A$2:$A$5,MATCH(L695,  dim_segment!$B$2:$B$5, 0))</f>
        <v>SEG003</v>
      </c>
      <c r="N695" t="s">
        <v>37</v>
      </c>
      <c r="O695" s="2">
        <v>2</v>
      </c>
      <c r="P695" s="2">
        <v>45000</v>
      </c>
      <c r="Q695">
        <v>0.08</v>
      </c>
      <c r="R695" s="2">
        <v>82800</v>
      </c>
    </row>
    <row r="696" spans="1:18" x14ac:dyDescent="0.25">
      <c r="A696" t="s">
        <v>783</v>
      </c>
      <c r="B696" s="1">
        <v>45501</v>
      </c>
      <c r="C696" s="1" t="s">
        <v>92</v>
      </c>
      <c r="D696" t="s">
        <v>93</v>
      </c>
      <c r="E696" t="s">
        <v>749</v>
      </c>
      <c r="F696" t="s">
        <v>750</v>
      </c>
      <c r="G696" t="s">
        <v>343</v>
      </c>
      <c r="H696" t="s">
        <v>27</v>
      </c>
      <c r="I696" t="s">
        <v>35</v>
      </c>
      <c r="J696" t="s">
        <v>36</v>
      </c>
      <c r="K696" t="s">
        <v>32</v>
      </c>
      <c r="L696" t="s">
        <v>23</v>
      </c>
      <c r="M696" t="str">
        <f>INDEX( dim_segment!$A$2:$A$5,MATCH(L696,  dim_segment!$B$2:$B$5, 0))</f>
        <v>SEG001</v>
      </c>
      <c r="N696" t="s">
        <v>28</v>
      </c>
      <c r="O696" s="2">
        <v>1</v>
      </c>
      <c r="P696" s="2">
        <v>45000</v>
      </c>
      <c r="Q696">
        <v>0.09</v>
      </c>
      <c r="R696" s="2">
        <v>41000</v>
      </c>
    </row>
    <row r="697" spans="1:18" x14ac:dyDescent="0.25">
      <c r="A697" t="s">
        <v>784</v>
      </c>
      <c r="B697" s="1">
        <v>45512</v>
      </c>
      <c r="C697" s="1" t="s">
        <v>102</v>
      </c>
      <c r="D697" t="s">
        <v>93</v>
      </c>
      <c r="E697" t="s">
        <v>749</v>
      </c>
      <c r="F697" t="s">
        <v>750</v>
      </c>
      <c r="G697" t="s">
        <v>343</v>
      </c>
      <c r="H697" t="s">
        <v>27</v>
      </c>
      <c r="I697" t="s">
        <v>35</v>
      </c>
      <c r="J697" t="s">
        <v>36</v>
      </c>
      <c r="K697" t="s">
        <v>32</v>
      </c>
      <c r="L697" t="s">
        <v>27</v>
      </c>
      <c r="M697" t="str">
        <f>INDEX( dim_segment!$A$2:$A$5,MATCH(L697,  dim_segment!$B$2:$B$5, 0))</f>
        <v>SEG002</v>
      </c>
      <c r="N697" t="s">
        <v>37</v>
      </c>
      <c r="O697" s="2">
        <v>5</v>
      </c>
      <c r="P697" s="2">
        <v>45000</v>
      </c>
      <c r="Q697">
        <v>0.06</v>
      </c>
      <c r="R697" s="2">
        <v>211500</v>
      </c>
    </row>
    <row r="698" spans="1:18" x14ac:dyDescent="0.25">
      <c r="A698" t="s">
        <v>785</v>
      </c>
      <c r="B698" s="1">
        <v>45521</v>
      </c>
      <c r="C698" s="1" t="s">
        <v>102</v>
      </c>
      <c r="D698" t="s">
        <v>93</v>
      </c>
      <c r="E698" t="s">
        <v>749</v>
      </c>
      <c r="F698" t="s">
        <v>750</v>
      </c>
      <c r="G698" t="s">
        <v>343</v>
      </c>
      <c r="H698" t="s">
        <v>27</v>
      </c>
      <c r="I698" t="s">
        <v>60</v>
      </c>
      <c r="J698" t="s">
        <v>61</v>
      </c>
      <c r="K698" t="s">
        <v>26</v>
      </c>
      <c r="L698" t="s">
        <v>65</v>
      </c>
      <c r="M698" t="str">
        <f>INDEX( dim_segment!$A$2:$A$5,MATCH(L698,  dim_segment!$B$2:$B$5, 0))</f>
        <v>SEG003</v>
      </c>
      <c r="N698" t="s">
        <v>37</v>
      </c>
      <c r="O698" s="2">
        <v>4</v>
      </c>
      <c r="P698" s="2">
        <v>95000</v>
      </c>
      <c r="Q698">
        <v>7.0000000000000007E-2</v>
      </c>
      <c r="R698" s="2">
        <v>353400</v>
      </c>
    </row>
    <row r="699" spans="1:18" x14ac:dyDescent="0.25">
      <c r="A699" t="s">
        <v>786</v>
      </c>
      <c r="B699" s="1">
        <v>45510</v>
      </c>
      <c r="C699" s="1" t="s">
        <v>102</v>
      </c>
      <c r="D699" t="s">
        <v>93</v>
      </c>
      <c r="E699" t="s">
        <v>749</v>
      </c>
      <c r="F699" t="s">
        <v>750</v>
      </c>
      <c r="G699" t="s">
        <v>343</v>
      </c>
      <c r="H699" t="s">
        <v>27</v>
      </c>
      <c r="I699" t="s">
        <v>47</v>
      </c>
      <c r="J699" t="s">
        <v>48</v>
      </c>
      <c r="K699" t="s">
        <v>49</v>
      </c>
      <c r="L699" t="s">
        <v>65</v>
      </c>
      <c r="M699" t="str">
        <f>INDEX( dim_segment!$A$2:$A$5,MATCH(L699,  dim_segment!$B$2:$B$5, 0))</f>
        <v>SEG003</v>
      </c>
      <c r="N699" t="s">
        <v>28</v>
      </c>
      <c r="O699" s="2">
        <v>3</v>
      </c>
      <c r="P699" s="2">
        <v>200000</v>
      </c>
      <c r="Q699">
        <v>0.12</v>
      </c>
      <c r="R699" s="2">
        <v>528000</v>
      </c>
    </row>
    <row r="700" spans="1:18" x14ac:dyDescent="0.25">
      <c r="A700" t="s">
        <v>787</v>
      </c>
      <c r="B700" s="1">
        <v>45520</v>
      </c>
      <c r="C700" s="1" t="s">
        <v>102</v>
      </c>
      <c r="D700" t="s">
        <v>93</v>
      </c>
      <c r="E700" t="s">
        <v>749</v>
      </c>
      <c r="F700" t="s">
        <v>750</v>
      </c>
      <c r="G700" t="s">
        <v>343</v>
      </c>
      <c r="H700" t="s">
        <v>27</v>
      </c>
      <c r="I700" t="s">
        <v>30</v>
      </c>
      <c r="J700" t="s">
        <v>31</v>
      </c>
      <c r="K700" t="s">
        <v>32</v>
      </c>
      <c r="L700" t="s">
        <v>27</v>
      </c>
      <c r="M700" t="str">
        <f>INDEX( dim_segment!$A$2:$A$5,MATCH(L700,  dim_segment!$B$2:$B$5, 0))</f>
        <v>SEG002</v>
      </c>
      <c r="N700" t="s">
        <v>28</v>
      </c>
      <c r="O700" s="2">
        <v>4</v>
      </c>
      <c r="P700" s="2">
        <v>60000</v>
      </c>
      <c r="Q700">
        <v>0.1</v>
      </c>
      <c r="R700" s="2">
        <v>216000</v>
      </c>
    </row>
    <row r="701" spans="1:18" x14ac:dyDescent="0.25">
      <c r="A701" t="s">
        <v>788</v>
      </c>
      <c r="B701" s="1">
        <v>45515</v>
      </c>
      <c r="C701" s="1" t="s">
        <v>102</v>
      </c>
      <c r="D701" t="s">
        <v>93</v>
      </c>
      <c r="E701" t="s">
        <v>749</v>
      </c>
      <c r="F701" t="s">
        <v>750</v>
      </c>
      <c r="G701" t="s">
        <v>343</v>
      </c>
      <c r="H701" t="s">
        <v>27</v>
      </c>
      <c r="I701" t="s">
        <v>40</v>
      </c>
      <c r="J701" t="s">
        <v>41</v>
      </c>
      <c r="K701" t="s">
        <v>42</v>
      </c>
      <c r="L701" t="s">
        <v>43</v>
      </c>
      <c r="M701" t="str">
        <f>INDEX( dim_segment!$A$2:$A$5,MATCH(L701,  dim_segment!$B$2:$B$5, 0))</f>
        <v>SEG004</v>
      </c>
      <c r="N701" t="s">
        <v>37</v>
      </c>
      <c r="O701" s="2">
        <v>2</v>
      </c>
      <c r="P701" s="2">
        <v>85000</v>
      </c>
      <c r="Q701">
        <v>0.05</v>
      </c>
      <c r="R701" s="2">
        <v>161500</v>
      </c>
    </row>
    <row r="702" spans="1:18" x14ac:dyDescent="0.25">
      <c r="A702" t="s">
        <v>789</v>
      </c>
      <c r="B702" s="1">
        <v>45508</v>
      </c>
      <c r="C702" s="1" t="s">
        <v>102</v>
      </c>
      <c r="D702" t="s">
        <v>93</v>
      </c>
      <c r="E702" t="s">
        <v>749</v>
      </c>
      <c r="F702" t="s">
        <v>750</v>
      </c>
      <c r="G702" t="s">
        <v>343</v>
      </c>
      <c r="H702" t="s">
        <v>27</v>
      </c>
      <c r="I702" t="s">
        <v>60</v>
      </c>
      <c r="J702" t="s">
        <v>61</v>
      </c>
      <c r="K702" t="s">
        <v>26</v>
      </c>
      <c r="L702" t="s">
        <v>23</v>
      </c>
      <c r="M702" t="str">
        <f>INDEX( dim_segment!$A$2:$A$5,MATCH(L702,  dim_segment!$B$2:$B$5, 0))</f>
        <v>SEG001</v>
      </c>
      <c r="N702" t="s">
        <v>28</v>
      </c>
      <c r="O702" s="2">
        <v>2</v>
      </c>
      <c r="P702" s="2">
        <v>95000</v>
      </c>
      <c r="Q702">
        <v>0.01</v>
      </c>
      <c r="R702" s="2">
        <v>188100</v>
      </c>
    </row>
    <row r="703" spans="1:18" x14ac:dyDescent="0.25">
      <c r="A703" t="s">
        <v>790</v>
      </c>
      <c r="B703" s="1">
        <v>45514</v>
      </c>
      <c r="C703" s="1" t="s">
        <v>102</v>
      </c>
      <c r="D703" t="s">
        <v>93</v>
      </c>
      <c r="E703" t="s">
        <v>749</v>
      </c>
      <c r="F703" t="s">
        <v>750</v>
      </c>
      <c r="G703" t="s">
        <v>343</v>
      </c>
      <c r="H703" t="s">
        <v>27</v>
      </c>
      <c r="I703" t="s">
        <v>35</v>
      </c>
      <c r="J703" t="s">
        <v>36</v>
      </c>
      <c r="K703" t="s">
        <v>32</v>
      </c>
      <c r="L703" t="s">
        <v>23</v>
      </c>
      <c r="M703" t="str">
        <f>INDEX( dim_segment!$A$2:$A$5,MATCH(L703,  dim_segment!$B$2:$B$5, 0))</f>
        <v>SEG001</v>
      </c>
      <c r="N703" t="s">
        <v>37</v>
      </c>
      <c r="O703" s="2">
        <v>2</v>
      </c>
      <c r="P703" s="2">
        <v>45000</v>
      </c>
      <c r="Q703">
        <v>0.05</v>
      </c>
      <c r="R703" s="2">
        <v>85500</v>
      </c>
    </row>
    <row r="704" spans="1:18" x14ac:dyDescent="0.25">
      <c r="A704" t="s">
        <v>791</v>
      </c>
      <c r="B704" s="1">
        <v>45540</v>
      </c>
      <c r="C704" s="1" t="s">
        <v>106</v>
      </c>
      <c r="D704" t="s">
        <v>93</v>
      </c>
      <c r="E704" t="s">
        <v>749</v>
      </c>
      <c r="F704" t="s">
        <v>750</v>
      </c>
      <c r="G704" t="s">
        <v>343</v>
      </c>
      <c r="H704" t="s">
        <v>27</v>
      </c>
      <c r="I704" t="s">
        <v>30</v>
      </c>
      <c r="J704" t="s">
        <v>31</v>
      </c>
      <c r="K704" t="s">
        <v>32</v>
      </c>
      <c r="L704" t="s">
        <v>65</v>
      </c>
      <c r="M704" t="str">
        <f>INDEX( dim_segment!$A$2:$A$5,MATCH(L704,  dim_segment!$B$2:$B$5, 0))</f>
        <v>SEG003</v>
      </c>
      <c r="N704" t="s">
        <v>28</v>
      </c>
      <c r="O704" s="2">
        <v>3</v>
      </c>
      <c r="P704" s="2">
        <v>60000</v>
      </c>
      <c r="Q704">
        <v>0.03</v>
      </c>
      <c r="R704" s="2">
        <v>174600</v>
      </c>
    </row>
    <row r="705" spans="1:18" x14ac:dyDescent="0.25">
      <c r="A705" t="s">
        <v>792</v>
      </c>
      <c r="B705" s="1">
        <v>45538</v>
      </c>
      <c r="C705" s="1" t="s">
        <v>106</v>
      </c>
      <c r="D705" t="s">
        <v>93</v>
      </c>
      <c r="E705" t="s">
        <v>749</v>
      </c>
      <c r="F705" t="s">
        <v>750</v>
      </c>
      <c r="G705" t="s">
        <v>343</v>
      </c>
      <c r="H705" t="s">
        <v>27</v>
      </c>
      <c r="I705" t="s">
        <v>40</v>
      </c>
      <c r="J705" t="s">
        <v>41</v>
      </c>
      <c r="K705" t="s">
        <v>42</v>
      </c>
      <c r="L705" t="s">
        <v>23</v>
      </c>
      <c r="M705" t="str">
        <f>INDEX( dim_segment!$A$2:$A$5,MATCH(L705,  dim_segment!$B$2:$B$5, 0))</f>
        <v>SEG001</v>
      </c>
      <c r="N705" t="s">
        <v>37</v>
      </c>
      <c r="O705" s="2">
        <v>5</v>
      </c>
      <c r="P705" s="2">
        <v>85000</v>
      </c>
      <c r="Q705">
        <v>0.04</v>
      </c>
      <c r="R705" s="2">
        <v>408000</v>
      </c>
    </row>
    <row r="706" spans="1:18" x14ac:dyDescent="0.25">
      <c r="A706" t="s">
        <v>793</v>
      </c>
      <c r="B706" s="1">
        <v>45549</v>
      </c>
      <c r="C706" s="1" t="s">
        <v>106</v>
      </c>
      <c r="D706" t="s">
        <v>93</v>
      </c>
      <c r="E706" t="s">
        <v>749</v>
      </c>
      <c r="F706" t="s">
        <v>750</v>
      </c>
      <c r="G706" t="s">
        <v>343</v>
      </c>
      <c r="H706" t="s">
        <v>27</v>
      </c>
      <c r="I706" t="s">
        <v>40</v>
      </c>
      <c r="J706" t="s">
        <v>41</v>
      </c>
      <c r="K706" t="s">
        <v>42</v>
      </c>
      <c r="L706" t="s">
        <v>27</v>
      </c>
      <c r="M706" t="str">
        <f>INDEX( dim_segment!$A$2:$A$5,MATCH(L706,  dim_segment!$B$2:$B$5, 0))</f>
        <v>SEG002</v>
      </c>
      <c r="N706" t="s">
        <v>37</v>
      </c>
      <c r="O706" s="2">
        <v>3</v>
      </c>
      <c r="P706" s="2">
        <v>85000</v>
      </c>
      <c r="Q706">
        <v>0.06</v>
      </c>
      <c r="R706" s="2">
        <v>239700</v>
      </c>
    </row>
    <row r="707" spans="1:18" x14ac:dyDescent="0.25">
      <c r="A707" t="s">
        <v>794</v>
      </c>
      <c r="B707" s="1">
        <v>45554</v>
      </c>
      <c r="C707" s="1" t="s">
        <v>106</v>
      </c>
      <c r="D707" t="s">
        <v>93</v>
      </c>
      <c r="E707" t="s">
        <v>749</v>
      </c>
      <c r="F707" t="s">
        <v>750</v>
      </c>
      <c r="G707" t="s">
        <v>343</v>
      </c>
      <c r="H707" t="s">
        <v>27</v>
      </c>
      <c r="I707" t="s">
        <v>40</v>
      </c>
      <c r="J707" t="s">
        <v>41</v>
      </c>
      <c r="K707" t="s">
        <v>42</v>
      </c>
      <c r="L707" t="s">
        <v>23</v>
      </c>
      <c r="M707" t="str">
        <f>INDEX( dim_segment!$A$2:$A$5,MATCH(L707,  dim_segment!$B$2:$B$5, 0))</f>
        <v>SEG001</v>
      </c>
      <c r="N707" t="s">
        <v>28</v>
      </c>
      <c r="O707" s="2">
        <v>2</v>
      </c>
      <c r="P707" s="2">
        <v>85000</v>
      </c>
      <c r="Q707">
        <v>0.08</v>
      </c>
      <c r="R707" s="2">
        <v>156400</v>
      </c>
    </row>
    <row r="708" spans="1:18" x14ac:dyDescent="0.25">
      <c r="A708" t="s">
        <v>795</v>
      </c>
      <c r="B708" s="1">
        <v>45550</v>
      </c>
      <c r="C708" s="1" t="s">
        <v>106</v>
      </c>
      <c r="D708" t="s">
        <v>93</v>
      </c>
      <c r="E708" t="s">
        <v>749</v>
      </c>
      <c r="F708" t="s">
        <v>750</v>
      </c>
      <c r="G708" t="s">
        <v>343</v>
      </c>
      <c r="H708" t="s">
        <v>27</v>
      </c>
      <c r="I708" t="s">
        <v>60</v>
      </c>
      <c r="J708" t="s">
        <v>61</v>
      </c>
      <c r="K708" t="s">
        <v>26</v>
      </c>
      <c r="L708" t="s">
        <v>65</v>
      </c>
      <c r="M708" t="str">
        <f>INDEX( dim_segment!$A$2:$A$5,MATCH(L708,  dim_segment!$B$2:$B$5, 0))</f>
        <v>SEG003</v>
      </c>
      <c r="N708" t="s">
        <v>28</v>
      </c>
      <c r="O708" s="2">
        <v>3</v>
      </c>
      <c r="P708" s="2">
        <v>95000</v>
      </c>
      <c r="Q708">
        <v>0.05</v>
      </c>
      <c r="R708" s="2">
        <v>270800</v>
      </c>
    </row>
    <row r="709" spans="1:18" x14ac:dyDescent="0.25">
      <c r="A709" t="s">
        <v>796</v>
      </c>
      <c r="B709" s="1">
        <v>45572</v>
      </c>
      <c r="C709" s="1" t="s">
        <v>115</v>
      </c>
      <c r="D709" t="s">
        <v>116</v>
      </c>
      <c r="E709" t="s">
        <v>749</v>
      </c>
      <c r="F709" t="s">
        <v>750</v>
      </c>
      <c r="G709" t="s">
        <v>343</v>
      </c>
      <c r="H709" t="s">
        <v>27</v>
      </c>
      <c r="I709" t="s">
        <v>24</v>
      </c>
      <c r="J709" t="s">
        <v>25</v>
      </c>
      <c r="K709" t="s">
        <v>26</v>
      </c>
      <c r="L709" t="s">
        <v>43</v>
      </c>
      <c r="M709" t="str">
        <f>INDEX( dim_segment!$A$2:$A$5,MATCH(L709,  dim_segment!$B$2:$B$5, 0))</f>
        <v>SEG004</v>
      </c>
      <c r="N709" t="s">
        <v>54</v>
      </c>
      <c r="O709" s="2">
        <v>1</v>
      </c>
      <c r="P709" s="2">
        <v>75000</v>
      </c>
      <c r="Q709">
        <v>0.11</v>
      </c>
      <c r="R709" s="2">
        <v>66800</v>
      </c>
    </row>
    <row r="710" spans="1:18" x14ac:dyDescent="0.25">
      <c r="A710" t="s">
        <v>797</v>
      </c>
      <c r="B710" s="1">
        <v>45572</v>
      </c>
      <c r="C710" s="1" t="s">
        <v>115</v>
      </c>
      <c r="D710" t="s">
        <v>116</v>
      </c>
      <c r="E710" t="s">
        <v>749</v>
      </c>
      <c r="F710" t="s">
        <v>750</v>
      </c>
      <c r="G710" t="s">
        <v>343</v>
      </c>
      <c r="H710" t="s">
        <v>27</v>
      </c>
      <c r="I710" t="s">
        <v>60</v>
      </c>
      <c r="J710" t="s">
        <v>61</v>
      </c>
      <c r="K710" t="s">
        <v>26</v>
      </c>
      <c r="L710" t="s">
        <v>43</v>
      </c>
      <c r="M710" t="str">
        <f>INDEX( dim_segment!$A$2:$A$5,MATCH(L710,  dim_segment!$B$2:$B$5, 0))</f>
        <v>SEG004</v>
      </c>
      <c r="N710" t="s">
        <v>28</v>
      </c>
      <c r="O710" s="2">
        <v>3</v>
      </c>
      <c r="P710" s="2">
        <v>95000</v>
      </c>
      <c r="Q710">
        <v>0.02</v>
      </c>
      <c r="R710" s="2">
        <v>279300</v>
      </c>
    </row>
    <row r="711" spans="1:18" x14ac:dyDescent="0.25">
      <c r="A711" t="s">
        <v>798</v>
      </c>
      <c r="B711" s="1">
        <v>45607</v>
      </c>
      <c r="C711" s="1" t="s">
        <v>125</v>
      </c>
      <c r="D711" t="s">
        <v>116</v>
      </c>
      <c r="E711" t="s">
        <v>749</v>
      </c>
      <c r="F711" t="s">
        <v>750</v>
      </c>
      <c r="G711" t="s">
        <v>343</v>
      </c>
      <c r="H711" t="s">
        <v>27</v>
      </c>
      <c r="I711" t="s">
        <v>47</v>
      </c>
      <c r="J711" t="s">
        <v>48</v>
      </c>
      <c r="K711" t="s">
        <v>49</v>
      </c>
      <c r="L711" t="s">
        <v>65</v>
      </c>
      <c r="M711" t="str">
        <f>INDEX( dim_segment!$A$2:$A$5,MATCH(L711,  dim_segment!$B$2:$B$5, 0))</f>
        <v>SEG003</v>
      </c>
      <c r="N711" t="s">
        <v>28</v>
      </c>
      <c r="O711" s="2">
        <v>4</v>
      </c>
      <c r="P711" s="2">
        <v>200000</v>
      </c>
      <c r="Q711">
        <v>0.11</v>
      </c>
      <c r="R711" s="2">
        <v>712000</v>
      </c>
    </row>
    <row r="712" spans="1:18" x14ac:dyDescent="0.25">
      <c r="A712" t="s">
        <v>799</v>
      </c>
      <c r="B712" s="1">
        <v>45610</v>
      </c>
      <c r="C712" s="1" t="s">
        <v>125</v>
      </c>
      <c r="D712" t="s">
        <v>116</v>
      </c>
      <c r="E712" t="s">
        <v>749</v>
      </c>
      <c r="F712" t="s">
        <v>750</v>
      </c>
      <c r="G712" t="s">
        <v>343</v>
      </c>
      <c r="H712" t="s">
        <v>27</v>
      </c>
      <c r="I712" t="s">
        <v>75</v>
      </c>
      <c r="J712" t="s">
        <v>76</v>
      </c>
      <c r="K712" t="s">
        <v>49</v>
      </c>
      <c r="L712" t="s">
        <v>27</v>
      </c>
      <c r="M712" t="str">
        <f>INDEX( dim_segment!$A$2:$A$5,MATCH(L712,  dim_segment!$B$2:$B$5, 0))</f>
        <v>SEG002</v>
      </c>
      <c r="N712" t="s">
        <v>33</v>
      </c>
      <c r="O712" s="2">
        <v>1</v>
      </c>
      <c r="P712" s="2">
        <v>120000</v>
      </c>
      <c r="Q712">
        <v>0.1</v>
      </c>
      <c r="R712" s="2">
        <v>108000</v>
      </c>
    </row>
    <row r="713" spans="1:18" x14ac:dyDescent="0.25">
      <c r="A713" t="s">
        <v>800</v>
      </c>
      <c r="B713" s="1">
        <v>45607</v>
      </c>
      <c r="C713" s="1" t="s">
        <v>125</v>
      </c>
      <c r="D713" t="s">
        <v>116</v>
      </c>
      <c r="E713" t="s">
        <v>749</v>
      </c>
      <c r="F713" t="s">
        <v>750</v>
      </c>
      <c r="G713" t="s">
        <v>343</v>
      </c>
      <c r="H713" t="s">
        <v>27</v>
      </c>
      <c r="I713" t="s">
        <v>47</v>
      </c>
      <c r="J713" t="s">
        <v>48</v>
      </c>
      <c r="K713" t="s">
        <v>49</v>
      </c>
      <c r="L713" t="s">
        <v>43</v>
      </c>
      <c r="M713" t="str">
        <f>INDEX( dim_segment!$A$2:$A$5,MATCH(L713,  dim_segment!$B$2:$B$5, 0))</f>
        <v>SEG004</v>
      </c>
      <c r="N713" t="s">
        <v>37</v>
      </c>
      <c r="O713" s="2">
        <v>3</v>
      </c>
      <c r="P713" s="2">
        <v>200000</v>
      </c>
      <c r="Q713">
        <v>0.05</v>
      </c>
      <c r="R713" s="2">
        <v>570000</v>
      </c>
    </row>
    <row r="714" spans="1:18" x14ac:dyDescent="0.25">
      <c r="A714" t="s">
        <v>801</v>
      </c>
      <c r="B714" s="1">
        <v>45619</v>
      </c>
      <c r="C714" s="1" t="s">
        <v>125</v>
      </c>
      <c r="D714" t="s">
        <v>116</v>
      </c>
      <c r="E714" t="s">
        <v>749</v>
      </c>
      <c r="F714" t="s">
        <v>750</v>
      </c>
      <c r="G714" t="s">
        <v>343</v>
      </c>
      <c r="H714" t="s">
        <v>27</v>
      </c>
      <c r="I714" t="s">
        <v>75</v>
      </c>
      <c r="J714" t="s">
        <v>76</v>
      </c>
      <c r="K714" t="s">
        <v>49</v>
      </c>
      <c r="L714" t="s">
        <v>27</v>
      </c>
      <c r="M714" t="str">
        <f>INDEX( dim_segment!$A$2:$A$5,MATCH(L714,  dim_segment!$B$2:$B$5, 0))</f>
        <v>SEG002</v>
      </c>
      <c r="N714" t="s">
        <v>33</v>
      </c>
      <c r="O714" s="2">
        <v>2</v>
      </c>
      <c r="P714" s="2">
        <v>120000</v>
      </c>
      <c r="Q714">
        <v>0.08</v>
      </c>
      <c r="R714" s="2">
        <v>220800</v>
      </c>
    </row>
    <row r="715" spans="1:18" x14ac:dyDescent="0.25">
      <c r="A715" t="s">
        <v>802</v>
      </c>
      <c r="B715" s="1">
        <v>45611</v>
      </c>
      <c r="C715" s="1" t="s">
        <v>125</v>
      </c>
      <c r="D715" t="s">
        <v>116</v>
      </c>
      <c r="E715" t="s">
        <v>749</v>
      </c>
      <c r="F715" t="s">
        <v>750</v>
      </c>
      <c r="G715" t="s">
        <v>343</v>
      </c>
      <c r="H715" t="s">
        <v>27</v>
      </c>
      <c r="I715" t="s">
        <v>47</v>
      </c>
      <c r="J715" t="s">
        <v>48</v>
      </c>
      <c r="K715" t="s">
        <v>49</v>
      </c>
      <c r="L715" t="s">
        <v>27</v>
      </c>
      <c r="M715" t="str">
        <f>INDEX( dim_segment!$A$2:$A$5,MATCH(L715,  dim_segment!$B$2:$B$5, 0))</f>
        <v>SEG002</v>
      </c>
      <c r="N715" t="s">
        <v>37</v>
      </c>
      <c r="O715" s="2">
        <v>5</v>
      </c>
      <c r="P715" s="2">
        <v>200000</v>
      </c>
      <c r="Q715">
        <v>0.1</v>
      </c>
      <c r="R715" s="2">
        <v>900000</v>
      </c>
    </row>
    <row r="716" spans="1:18" x14ac:dyDescent="0.25">
      <c r="A716" t="s">
        <v>803</v>
      </c>
      <c r="B716" s="1">
        <v>45622</v>
      </c>
      <c r="C716" s="1" t="s">
        <v>125</v>
      </c>
      <c r="D716" t="s">
        <v>116</v>
      </c>
      <c r="E716" t="s">
        <v>749</v>
      </c>
      <c r="F716" t="s">
        <v>750</v>
      </c>
      <c r="G716" t="s">
        <v>343</v>
      </c>
      <c r="H716" t="s">
        <v>27</v>
      </c>
      <c r="I716" t="s">
        <v>51</v>
      </c>
      <c r="J716" t="s">
        <v>52</v>
      </c>
      <c r="K716" t="s">
        <v>42</v>
      </c>
      <c r="L716" t="s">
        <v>27</v>
      </c>
      <c r="M716" t="str">
        <f>INDEX( dim_segment!$A$2:$A$5,MATCH(L716,  dim_segment!$B$2:$B$5, 0))</f>
        <v>SEG002</v>
      </c>
      <c r="N716" t="s">
        <v>37</v>
      </c>
      <c r="O716" s="2">
        <v>1</v>
      </c>
      <c r="P716" s="2">
        <v>150000</v>
      </c>
      <c r="Q716">
        <v>0.09</v>
      </c>
      <c r="R716" s="2">
        <v>136500</v>
      </c>
    </row>
    <row r="717" spans="1:18" x14ac:dyDescent="0.25">
      <c r="A717" t="s">
        <v>804</v>
      </c>
      <c r="B717" s="1">
        <v>45615</v>
      </c>
      <c r="C717" s="1" t="s">
        <v>125</v>
      </c>
      <c r="D717" t="s">
        <v>116</v>
      </c>
      <c r="E717" t="s">
        <v>749</v>
      </c>
      <c r="F717" t="s">
        <v>750</v>
      </c>
      <c r="G717" t="s">
        <v>343</v>
      </c>
      <c r="H717" t="s">
        <v>27</v>
      </c>
      <c r="I717" t="s">
        <v>75</v>
      </c>
      <c r="J717" t="s">
        <v>76</v>
      </c>
      <c r="K717" t="s">
        <v>49</v>
      </c>
      <c r="L717" t="s">
        <v>27</v>
      </c>
      <c r="M717" t="str">
        <f>INDEX( dim_segment!$A$2:$A$5,MATCH(L717,  dim_segment!$B$2:$B$5, 0))</f>
        <v>SEG002</v>
      </c>
      <c r="N717" t="s">
        <v>37</v>
      </c>
      <c r="O717" s="2">
        <v>5</v>
      </c>
      <c r="P717" s="2">
        <v>120000</v>
      </c>
      <c r="Q717">
        <v>7.0000000000000007E-2</v>
      </c>
      <c r="R717" s="2">
        <v>558000</v>
      </c>
    </row>
    <row r="718" spans="1:18" x14ac:dyDescent="0.25">
      <c r="A718" t="s">
        <v>805</v>
      </c>
      <c r="B718" s="1">
        <v>45630</v>
      </c>
      <c r="C718" s="1" t="s">
        <v>134</v>
      </c>
      <c r="D718" t="s">
        <v>116</v>
      </c>
      <c r="E718" t="s">
        <v>749</v>
      </c>
      <c r="F718" t="s">
        <v>750</v>
      </c>
      <c r="G718" t="s">
        <v>343</v>
      </c>
      <c r="H718" t="s">
        <v>27</v>
      </c>
      <c r="I718" t="s">
        <v>24</v>
      </c>
      <c r="J718" t="s">
        <v>25</v>
      </c>
      <c r="K718" t="s">
        <v>26</v>
      </c>
      <c r="L718" t="s">
        <v>43</v>
      </c>
      <c r="M718" t="str">
        <f>INDEX( dim_segment!$A$2:$A$5,MATCH(L718,  dim_segment!$B$2:$B$5, 0))</f>
        <v>SEG004</v>
      </c>
      <c r="N718" t="s">
        <v>37</v>
      </c>
      <c r="O718" s="2">
        <v>5</v>
      </c>
      <c r="P718" s="2">
        <v>75000</v>
      </c>
      <c r="Q718">
        <v>0.11</v>
      </c>
      <c r="R718" s="2">
        <v>333800</v>
      </c>
    </row>
    <row r="719" spans="1:18" x14ac:dyDescent="0.25">
      <c r="A719" t="s">
        <v>806</v>
      </c>
      <c r="B719" s="1">
        <v>45629</v>
      </c>
      <c r="C719" s="1" t="s">
        <v>134</v>
      </c>
      <c r="D719" t="s">
        <v>116</v>
      </c>
      <c r="E719" t="s">
        <v>749</v>
      </c>
      <c r="F719" t="s">
        <v>750</v>
      </c>
      <c r="G719" t="s">
        <v>343</v>
      </c>
      <c r="H719" t="s">
        <v>27</v>
      </c>
      <c r="I719" t="s">
        <v>60</v>
      </c>
      <c r="J719" t="s">
        <v>61</v>
      </c>
      <c r="K719" t="s">
        <v>26</v>
      </c>
      <c r="L719" t="s">
        <v>65</v>
      </c>
      <c r="M719" t="str">
        <f>INDEX( dim_segment!$A$2:$A$5,MATCH(L719,  dim_segment!$B$2:$B$5, 0))</f>
        <v>SEG003</v>
      </c>
      <c r="N719" t="s">
        <v>37</v>
      </c>
      <c r="O719" s="2">
        <v>1</v>
      </c>
      <c r="P719" s="2">
        <v>95000</v>
      </c>
      <c r="Q719">
        <v>0.06</v>
      </c>
      <c r="R719" s="2">
        <v>89300</v>
      </c>
    </row>
    <row r="720" spans="1:18" x14ac:dyDescent="0.25">
      <c r="A720" t="s">
        <v>807</v>
      </c>
      <c r="B720" s="1">
        <v>45638</v>
      </c>
      <c r="C720" s="1" t="s">
        <v>134</v>
      </c>
      <c r="D720" t="s">
        <v>116</v>
      </c>
      <c r="E720" t="s">
        <v>749</v>
      </c>
      <c r="F720" t="s">
        <v>750</v>
      </c>
      <c r="G720" t="s">
        <v>343</v>
      </c>
      <c r="H720" t="s">
        <v>27</v>
      </c>
      <c r="I720" t="s">
        <v>24</v>
      </c>
      <c r="J720" t="s">
        <v>25</v>
      </c>
      <c r="K720" t="s">
        <v>26</v>
      </c>
      <c r="L720" t="s">
        <v>23</v>
      </c>
      <c r="M720" t="str">
        <f>INDEX( dim_segment!$A$2:$A$5,MATCH(L720,  dim_segment!$B$2:$B$5, 0))</f>
        <v>SEG001</v>
      </c>
      <c r="N720" t="s">
        <v>37</v>
      </c>
      <c r="O720" s="2">
        <v>5</v>
      </c>
      <c r="P720" s="2">
        <v>75000</v>
      </c>
      <c r="Q720">
        <v>0.01</v>
      </c>
      <c r="R720" s="2">
        <v>371200</v>
      </c>
    </row>
    <row r="721" spans="1:18" x14ac:dyDescent="0.25">
      <c r="A721" t="s">
        <v>808</v>
      </c>
      <c r="B721" s="1">
        <v>45637</v>
      </c>
      <c r="C721" s="1" t="s">
        <v>134</v>
      </c>
      <c r="D721" t="s">
        <v>116</v>
      </c>
      <c r="E721" t="s">
        <v>749</v>
      </c>
      <c r="F721" t="s">
        <v>750</v>
      </c>
      <c r="G721" t="s">
        <v>343</v>
      </c>
      <c r="H721" t="s">
        <v>27</v>
      </c>
      <c r="I721" t="s">
        <v>75</v>
      </c>
      <c r="J721" t="s">
        <v>76</v>
      </c>
      <c r="K721" t="s">
        <v>49</v>
      </c>
      <c r="L721" t="s">
        <v>65</v>
      </c>
      <c r="M721" t="str">
        <f>INDEX( dim_segment!$A$2:$A$5,MATCH(L721,  dim_segment!$B$2:$B$5, 0))</f>
        <v>SEG003</v>
      </c>
      <c r="N721" t="s">
        <v>28</v>
      </c>
      <c r="O721" s="2">
        <v>2</v>
      </c>
      <c r="P721" s="2">
        <v>120000</v>
      </c>
      <c r="Q721">
        <v>0.04</v>
      </c>
      <c r="R721" s="2">
        <v>230400</v>
      </c>
    </row>
    <row r="722" spans="1:18" x14ac:dyDescent="0.25">
      <c r="A722" t="s">
        <v>809</v>
      </c>
      <c r="B722" s="1">
        <v>45632</v>
      </c>
      <c r="C722" s="1" t="s">
        <v>134</v>
      </c>
      <c r="D722" t="s">
        <v>116</v>
      </c>
      <c r="E722" t="s">
        <v>749</v>
      </c>
      <c r="F722" t="s">
        <v>750</v>
      </c>
      <c r="G722" t="s">
        <v>343</v>
      </c>
      <c r="H722" t="s">
        <v>27</v>
      </c>
      <c r="I722" t="s">
        <v>51</v>
      </c>
      <c r="J722" t="s">
        <v>52</v>
      </c>
      <c r="K722" t="s">
        <v>42</v>
      </c>
      <c r="L722" t="s">
        <v>65</v>
      </c>
      <c r="M722" t="str">
        <f>INDEX( dim_segment!$A$2:$A$5,MATCH(L722,  dim_segment!$B$2:$B$5, 0))</f>
        <v>SEG003</v>
      </c>
      <c r="N722" t="s">
        <v>37</v>
      </c>
      <c r="O722" s="2">
        <v>5</v>
      </c>
      <c r="P722" s="2">
        <v>150000</v>
      </c>
      <c r="Q722">
        <v>0</v>
      </c>
      <c r="R722" s="2">
        <v>750000</v>
      </c>
    </row>
    <row r="723" spans="1:18" x14ac:dyDescent="0.25">
      <c r="A723" t="s">
        <v>810</v>
      </c>
      <c r="B723" s="1">
        <v>45654</v>
      </c>
      <c r="C723" s="1" t="s">
        <v>134</v>
      </c>
      <c r="D723" t="s">
        <v>116</v>
      </c>
      <c r="E723" t="s">
        <v>749</v>
      </c>
      <c r="F723" t="s">
        <v>750</v>
      </c>
      <c r="G723" t="s">
        <v>343</v>
      </c>
      <c r="H723" t="s">
        <v>27</v>
      </c>
      <c r="I723" t="s">
        <v>35</v>
      </c>
      <c r="J723" t="s">
        <v>36</v>
      </c>
      <c r="K723" t="s">
        <v>32</v>
      </c>
      <c r="L723" t="s">
        <v>43</v>
      </c>
      <c r="M723" t="str">
        <f>INDEX( dim_segment!$A$2:$A$5,MATCH(L723,  dim_segment!$B$2:$B$5, 0))</f>
        <v>SEG004</v>
      </c>
      <c r="N723" t="s">
        <v>33</v>
      </c>
      <c r="O723" s="2">
        <v>1</v>
      </c>
      <c r="P723" s="2">
        <v>45000</v>
      </c>
      <c r="Q723">
        <v>0.12</v>
      </c>
      <c r="R723" s="2">
        <v>39600</v>
      </c>
    </row>
    <row r="724" spans="1:18" x14ac:dyDescent="0.25">
      <c r="A724" t="s">
        <v>811</v>
      </c>
      <c r="B724" s="1">
        <v>45645</v>
      </c>
      <c r="C724" s="1" t="s">
        <v>134</v>
      </c>
      <c r="D724" t="s">
        <v>116</v>
      </c>
      <c r="E724" t="s">
        <v>749</v>
      </c>
      <c r="F724" t="s">
        <v>750</v>
      </c>
      <c r="G724" t="s">
        <v>343</v>
      </c>
      <c r="H724" t="s">
        <v>27</v>
      </c>
      <c r="I724" t="s">
        <v>30</v>
      </c>
      <c r="J724" t="s">
        <v>31</v>
      </c>
      <c r="K724" t="s">
        <v>32</v>
      </c>
      <c r="L724" t="s">
        <v>27</v>
      </c>
      <c r="M724" t="str">
        <f>INDEX( dim_segment!$A$2:$A$5,MATCH(L724,  dim_segment!$B$2:$B$5, 0))</f>
        <v>SEG002</v>
      </c>
      <c r="N724" t="s">
        <v>33</v>
      </c>
      <c r="O724" s="2">
        <v>2</v>
      </c>
      <c r="P724" s="2">
        <v>60000</v>
      </c>
      <c r="Q724">
        <v>7.0000000000000007E-2</v>
      </c>
      <c r="R724" s="2">
        <v>111600</v>
      </c>
    </row>
    <row r="725" spans="1:18" x14ac:dyDescent="0.25">
      <c r="A725" t="s">
        <v>812</v>
      </c>
      <c r="B725" s="1">
        <v>45651</v>
      </c>
      <c r="C725" s="1" t="s">
        <v>134</v>
      </c>
      <c r="D725" t="s">
        <v>116</v>
      </c>
      <c r="E725" t="s">
        <v>749</v>
      </c>
      <c r="F725" t="s">
        <v>750</v>
      </c>
      <c r="G725" t="s">
        <v>343</v>
      </c>
      <c r="H725" t="s">
        <v>27</v>
      </c>
      <c r="I725" t="s">
        <v>75</v>
      </c>
      <c r="J725" t="s">
        <v>76</v>
      </c>
      <c r="K725" t="s">
        <v>49</v>
      </c>
      <c r="L725" t="s">
        <v>65</v>
      </c>
      <c r="M725" t="str">
        <f>INDEX( dim_segment!$A$2:$A$5,MATCH(L725,  dim_segment!$B$2:$B$5, 0))</f>
        <v>SEG003</v>
      </c>
      <c r="N725" t="s">
        <v>54</v>
      </c>
      <c r="O725" s="2">
        <v>2</v>
      </c>
      <c r="P725" s="2">
        <v>120000</v>
      </c>
      <c r="Q725">
        <v>0.06</v>
      </c>
      <c r="R725" s="2">
        <v>225600</v>
      </c>
    </row>
    <row r="726" spans="1:18" x14ac:dyDescent="0.25">
      <c r="A726" t="s">
        <v>813</v>
      </c>
      <c r="B726" s="1">
        <v>45317</v>
      </c>
      <c r="C726" s="1" t="s">
        <v>18</v>
      </c>
      <c r="D726" t="s">
        <v>19</v>
      </c>
      <c r="E726" t="s">
        <v>814</v>
      </c>
      <c r="F726" t="s">
        <v>815</v>
      </c>
      <c r="G726" t="s">
        <v>414</v>
      </c>
      <c r="H726" t="s">
        <v>27</v>
      </c>
      <c r="I726" t="s">
        <v>30</v>
      </c>
      <c r="J726" t="s">
        <v>31</v>
      </c>
      <c r="K726" t="s">
        <v>32</v>
      </c>
      <c r="L726" t="s">
        <v>65</v>
      </c>
      <c r="M726" t="str">
        <f>INDEX( dim_segment!$A$2:$A$5,MATCH(L726,  dim_segment!$B$2:$B$5, 0))</f>
        <v>SEG003</v>
      </c>
      <c r="N726" t="s">
        <v>37</v>
      </c>
      <c r="O726" s="2">
        <v>3</v>
      </c>
      <c r="P726" s="2">
        <v>60000</v>
      </c>
      <c r="Q726">
        <v>0.03</v>
      </c>
      <c r="R726" s="2">
        <v>174600</v>
      </c>
    </row>
    <row r="727" spans="1:18" x14ac:dyDescent="0.25">
      <c r="A727" t="s">
        <v>816</v>
      </c>
      <c r="B727" s="1">
        <v>45296</v>
      </c>
      <c r="C727" s="1" t="s">
        <v>18</v>
      </c>
      <c r="D727" t="s">
        <v>19</v>
      </c>
      <c r="E727" t="s">
        <v>814</v>
      </c>
      <c r="F727" t="s">
        <v>815</v>
      </c>
      <c r="G727" t="s">
        <v>414</v>
      </c>
      <c r="H727" t="s">
        <v>27</v>
      </c>
      <c r="I727" t="s">
        <v>47</v>
      </c>
      <c r="J727" t="s">
        <v>48</v>
      </c>
      <c r="K727" t="s">
        <v>49</v>
      </c>
      <c r="L727" t="s">
        <v>27</v>
      </c>
      <c r="M727" t="str">
        <f>INDEX( dim_segment!$A$2:$A$5,MATCH(L727,  dim_segment!$B$2:$B$5, 0))</f>
        <v>SEG002</v>
      </c>
      <c r="N727" t="s">
        <v>37</v>
      </c>
      <c r="O727" s="2">
        <v>1</v>
      </c>
      <c r="P727" s="2">
        <v>200000</v>
      </c>
      <c r="Q727">
        <v>0.04</v>
      </c>
      <c r="R727" s="2">
        <v>192000</v>
      </c>
    </row>
    <row r="728" spans="1:18" x14ac:dyDescent="0.25">
      <c r="A728" t="s">
        <v>817</v>
      </c>
      <c r="B728" s="1">
        <v>45308</v>
      </c>
      <c r="C728" s="1" t="s">
        <v>18</v>
      </c>
      <c r="D728" t="s">
        <v>19</v>
      </c>
      <c r="E728" t="s">
        <v>814</v>
      </c>
      <c r="F728" t="s">
        <v>815</v>
      </c>
      <c r="G728" t="s">
        <v>414</v>
      </c>
      <c r="H728" t="s">
        <v>27</v>
      </c>
      <c r="I728" t="s">
        <v>51</v>
      </c>
      <c r="J728" t="s">
        <v>52</v>
      </c>
      <c r="K728" t="s">
        <v>42</v>
      </c>
      <c r="L728" t="s">
        <v>23</v>
      </c>
      <c r="M728" t="str">
        <f>INDEX( dim_segment!$A$2:$A$5,MATCH(L728,  dim_segment!$B$2:$B$5, 0))</f>
        <v>SEG001</v>
      </c>
      <c r="N728" t="s">
        <v>54</v>
      </c>
      <c r="O728" s="2">
        <v>3</v>
      </c>
      <c r="P728" s="2">
        <v>150000</v>
      </c>
      <c r="Q728">
        <v>0.08</v>
      </c>
      <c r="R728" s="2">
        <v>414000</v>
      </c>
    </row>
    <row r="729" spans="1:18" x14ac:dyDescent="0.25">
      <c r="A729" t="s">
        <v>818</v>
      </c>
      <c r="B729" s="1">
        <v>45300</v>
      </c>
      <c r="C729" s="1" t="s">
        <v>18</v>
      </c>
      <c r="D729" t="s">
        <v>19</v>
      </c>
      <c r="E729" t="s">
        <v>814</v>
      </c>
      <c r="F729" t="s">
        <v>815</v>
      </c>
      <c r="G729" t="s">
        <v>414</v>
      </c>
      <c r="H729" t="s">
        <v>27</v>
      </c>
      <c r="I729" t="s">
        <v>75</v>
      </c>
      <c r="J729" t="s">
        <v>76</v>
      </c>
      <c r="K729" t="s">
        <v>49</v>
      </c>
      <c r="L729" t="s">
        <v>27</v>
      </c>
      <c r="M729" t="str">
        <f>INDEX( dim_segment!$A$2:$A$5,MATCH(L729,  dim_segment!$B$2:$B$5, 0))</f>
        <v>SEG002</v>
      </c>
      <c r="N729" t="s">
        <v>37</v>
      </c>
      <c r="O729" s="2">
        <v>1</v>
      </c>
      <c r="P729" s="2">
        <v>120000</v>
      </c>
      <c r="Q729">
        <v>0.08</v>
      </c>
      <c r="R729" s="2">
        <v>110400</v>
      </c>
    </row>
    <row r="730" spans="1:18" x14ac:dyDescent="0.25">
      <c r="A730" t="s">
        <v>819</v>
      </c>
      <c r="B730" s="1">
        <v>45302</v>
      </c>
      <c r="C730" s="1" t="s">
        <v>18</v>
      </c>
      <c r="D730" t="s">
        <v>19</v>
      </c>
      <c r="E730" t="s">
        <v>814</v>
      </c>
      <c r="F730" t="s">
        <v>815</v>
      </c>
      <c r="G730" t="s">
        <v>414</v>
      </c>
      <c r="H730" t="s">
        <v>27</v>
      </c>
      <c r="I730" t="s">
        <v>60</v>
      </c>
      <c r="J730" t="s">
        <v>61</v>
      </c>
      <c r="K730" t="s">
        <v>26</v>
      </c>
      <c r="L730" t="s">
        <v>65</v>
      </c>
      <c r="M730" t="str">
        <f>INDEX( dim_segment!$A$2:$A$5,MATCH(L730,  dim_segment!$B$2:$B$5, 0))</f>
        <v>SEG003</v>
      </c>
      <c r="N730" t="s">
        <v>28</v>
      </c>
      <c r="O730" s="2">
        <v>4</v>
      </c>
      <c r="P730" s="2">
        <v>95000</v>
      </c>
      <c r="Q730">
        <v>0.06</v>
      </c>
      <c r="R730" s="2">
        <v>357200</v>
      </c>
    </row>
    <row r="731" spans="1:18" x14ac:dyDescent="0.25">
      <c r="A731" t="s">
        <v>820</v>
      </c>
      <c r="B731" s="1">
        <v>45344</v>
      </c>
      <c r="C731" s="1" t="s">
        <v>46</v>
      </c>
      <c r="D731" t="s">
        <v>19</v>
      </c>
      <c r="E731" t="s">
        <v>814</v>
      </c>
      <c r="F731" t="s">
        <v>815</v>
      </c>
      <c r="G731" t="s">
        <v>414</v>
      </c>
      <c r="H731" t="s">
        <v>27</v>
      </c>
      <c r="I731" t="s">
        <v>60</v>
      </c>
      <c r="J731" t="s">
        <v>61</v>
      </c>
      <c r="K731" t="s">
        <v>26</v>
      </c>
      <c r="L731" t="s">
        <v>43</v>
      </c>
      <c r="M731" t="str">
        <f>INDEX( dim_segment!$A$2:$A$5,MATCH(L731,  dim_segment!$B$2:$B$5, 0))</f>
        <v>SEG004</v>
      </c>
      <c r="N731" t="s">
        <v>54</v>
      </c>
      <c r="O731" s="2">
        <v>3</v>
      </c>
      <c r="P731" s="2">
        <v>95000</v>
      </c>
      <c r="Q731">
        <v>7.0000000000000007E-2</v>
      </c>
      <c r="R731" s="2">
        <v>265000</v>
      </c>
    </row>
    <row r="732" spans="1:18" x14ac:dyDescent="0.25">
      <c r="A732" t="s">
        <v>821</v>
      </c>
      <c r="B732" s="1">
        <v>45334</v>
      </c>
      <c r="C732" s="1" t="s">
        <v>46</v>
      </c>
      <c r="D732" t="s">
        <v>19</v>
      </c>
      <c r="E732" t="s">
        <v>814</v>
      </c>
      <c r="F732" t="s">
        <v>815</v>
      </c>
      <c r="G732" t="s">
        <v>414</v>
      </c>
      <c r="H732" t="s">
        <v>27</v>
      </c>
      <c r="I732" t="s">
        <v>24</v>
      </c>
      <c r="J732" t="s">
        <v>25</v>
      </c>
      <c r="K732" t="s">
        <v>26</v>
      </c>
      <c r="L732" t="s">
        <v>23</v>
      </c>
      <c r="M732" t="str">
        <f>INDEX( dim_segment!$A$2:$A$5,MATCH(L732,  dim_segment!$B$2:$B$5, 0))</f>
        <v>SEG001</v>
      </c>
      <c r="N732" t="s">
        <v>54</v>
      </c>
      <c r="O732" s="2">
        <v>5</v>
      </c>
      <c r="P732" s="2">
        <v>75000</v>
      </c>
      <c r="Q732">
        <v>0.09</v>
      </c>
      <c r="R732" s="2">
        <v>341200</v>
      </c>
    </row>
    <row r="733" spans="1:18" x14ac:dyDescent="0.25">
      <c r="A733" t="s">
        <v>822</v>
      </c>
      <c r="B733" s="1">
        <v>45346</v>
      </c>
      <c r="C733" s="1" t="s">
        <v>46</v>
      </c>
      <c r="D733" t="s">
        <v>19</v>
      </c>
      <c r="E733" t="s">
        <v>814</v>
      </c>
      <c r="F733" t="s">
        <v>815</v>
      </c>
      <c r="G733" t="s">
        <v>414</v>
      </c>
      <c r="H733" t="s">
        <v>27</v>
      </c>
      <c r="I733" t="s">
        <v>40</v>
      </c>
      <c r="J733" t="s">
        <v>41</v>
      </c>
      <c r="K733" t="s">
        <v>42</v>
      </c>
      <c r="L733" t="s">
        <v>23</v>
      </c>
      <c r="M733" t="str">
        <f>INDEX( dim_segment!$A$2:$A$5,MATCH(L733,  dim_segment!$B$2:$B$5, 0))</f>
        <v>SEG001</v>
      </c>
      <c r="N733" t="s">
        <v>28</v>
      </c>
      <c r="O733" s="2">
        <v>5</v>
      </c>
      <c r="P733" s="2">
        <v>85000</v>
      </c>
      <c r="Q733">
        <v>0.05</v>
      </c>
      <c r="R733" s="2">
        <v>403800</v>
      </c>
    </row>
    <row r="734" spans="1:18" x14ac:dyDescent="0.25">
      <c r="A734" t="s">
        <v>823</v>
      </c>
      <c r="B734" s="1">
        <v>45330</v>
      </c>
      <c r="C734" s="1" t="s">
        <v>46</v>
      </c>
      <c r="D734" t="s">
        <v>19</v>
      </c>
      <c r="E734" t="s">
        <v>814</v>
      </c>
      <c r="F734" t="s">
        <v>815</v>
      </c>
      <c r="G734" t="s">
        <v>414</v>
      </c>
      <c r="H734" t="s">
        <v>27</v>
      </c>
      <c r="I734" t="s">
        <v>75</v>
      </c>
      <c r="J734" t="s">
        <v>76</v>
      </c>
      <c r="K734" t="s">
        <v>49</v>
      </c>
      <c r="L734" t="s">
        <v>23</v>
      </c>
      <c r="M734" t="str">
        <f>INDEX( dim_segment!$A$2:$A$5,MATCH(L734,  dim_segment!$B$2:$B$5, 0))</f>
        <v>SEG001</v>
      </c>
      <c r="N734" t="s">
        <v>28</v>
      </c>
      <c r="O734" s="2">
        <v>3</v>
      </c>
      <c r="P734" s="2">
        <v>120000</v>
      </c>
      <c r="Q734">
        <v>0.01</v>
      </c>
      <c r="R734" s="2">
        <v>356400</v>
      </c>
    </row>
    <row r="735" spans="1:18" x14ac:dyDescent="0.25">
      <c r="A735" t="s">
        <v>824</v>
      </c>
      <c r="B735" s="1">
        <v>45332</v>
      </c>
      <c r="C735" s="1" t="s">
        <v>46</v>
      </c>
      <c r="D735" t="s">
        <v>19</v>
      </c>
      <c r="E735" t="s">
        <v>814</v>
      </c>
      <c r="F735" t="s">
        <v>815</v>
      </c>
      <c r="G735" t="s">
        <v>414</v>
      </c>
      <c r="H735" t="s">
        <v>27</v>
      </c>
      <c r="I735" t="s">
        <v>60</v>
      </c>
      <c r="J735" t="s">
        <v>61</v>
      </c>
      <c r="K735" t="s">
        <v>26</v>
      </c>
      <c r="L735" t="s">
        <v>43</v>
      </c>
      <c r="M735" t="str">
        <f>INDEX( dim_segment!$A$2:$A$5,MATCH(L735,  dim_segment!$B$2:$B$5, 0))</f>
        <v>SEG004</v>
      </c>
      <c r="N735" t="s">
        <v>37</v>
      </c>
      <c r="O735" s="2">
        <v>4</v>
      </c>
      <c r="P735" s="2">
        <v>95000</v>
      </c>
      <c r="Q735">
        <v>0.04</v>
      </c>
      <c r="R735" s="2">
        <v>364800</v>
      </c>
    </row>
    <row r="736" spans="1:18" x14ac:dyDescent="0.25">
      <c r="A736" t="s">
        <v>825</v>
      </c>
      <c r="B736" s="1">
        <v>45362</v>
      </c>
      <c r="C736" s="1" t="s">
        <v>56</v>
      </c>
      <c r="D736" t="s">
        <v>19</v>
      </c>
      <c r="E736" t="s">
        <v>814</v>
      </c>
      <c r="F736" t="s">
        <v>815</v>
      </c>
      <c r="G736" t="s">
        <v>414</v>
      </c>
      <c r="H736" t="s">
        <v>27</v>
      </c>
      <c r="I736" t="s">
        <v>75</v>
      </c>
      <c r="J736" t="s">
        <v>76</v>
      </c>
      <c r="K736" t="s">
        <v>49</v>
      </c>
      <c r="L736" t="s">
        <v>23</v>
      </c>
      <c r="M736" t="str">
        <f>INDEX( dim_segment!$A$2:$A$5,MATCH(L736,  dim_segment!$B$2:$B$5, 0))</f>
        <v>SEG001</v>
      </c>
      <c r="N736" t="s">
        <v>33</v>
      </c>
      <c r="O736" s="2">
        <v>4</v>
      </c>
      <c r="P736" s="2">
        <v>120000</v>
      </c>
      <c r="Q736">
        <v>0.09</v>
      </c>
      <c r="R736" s="2">
        <v>436800</v>
      </c>
    </row>
    <row r="737" spans="1:18" x14ac:dyDescent="0.25">
      <c r="A737" t="s">
        <v>826</v>
      </c>
      <c r="B737" s="1">
        <v>45368</v>
      </c>
      <c r="C737" s="1" t="s">
        <v>56</v>
      </c>
      <c r="D737" t="s">
        <v>19</v>
      </c>
      <c r="E737" t="s">
        <v>814</v>
      </c>
      <c r="F737" t="s">
        <v>815</v>
      </c>
      <c r="G737" t="s">
        <v>414</v>
      </c>
      <c r="H737" t="s">
        <v>27</v>
      </c>
      <c r="I737" t="s">
        <v>75</v>
      </c>
      <c r="J737" t="s">
        <v>76</v>
      </c>
      <c r="K737" t="s">
        <v>49</v>
      </c>
      <c r="L737" t="s">
        <v>23</v>
      </c>
      <c r="M737" t="str">
        <f>INDEX( dim_segment!$A$2:$A$5,MATCH(L737,  dim_segment!$B$2:$B$5, 0))</f>
        <v>SEG001</v>
      </c>
      <c r="N737" t="s">
        <v>28</v>
      </c>
      <c r="O737" s="2">
        <v>2</v>
      </c>
      <c r="P737" s="2">
        <v>120000</v>
      </c>
      <c r="Q737">
        <v>0.05</v>
      </c>
      <c r="R737" s="2">
        <v>228000</v>
      </c>
    </row>
    <row r="738" spans="1:18" x14ac:dyDescent="0.25">
      <c r="A738" t="s">
        <v>827</v>
      </c>
      <c r="B738" s="1">
        <v>45373</v>
      </c>
      <c r="C738" s="1" t="s">
        <v>56</v>
      </c>
      <c r="D738" t="s">
        <v>19</v>
      </c>
      <c r="E738" t="s">
        <v>814</v>
      </c>
      <c r="F738" t="s">
        <v>815</v>
      </c>
      <c r="G738" t="s">
        <v>414</v>
      </c>
      <c r="H738" t="s">
        <v>27</v>
      </c>
      <c r="I738" t="s">
        <v>75</v>
      </c>
      <c r="J738" t="s">
        <v>76</v>
      </c>
      <c r="K738" t="s">
        <v>49</v>
      </c>
      <c r="L738" t="s">
        <v>23</v>
      </c>
      <c r="M738" t="str">
        <f>INDEX( dim_segment!$A$2:$A$5,MATCH(L738,  dim_segment!$B$2:$B$5, 0))</f>
        <v>SEG001</v>
      </c>
      <c r="N738" t="s">
        <v>54</v>
      </c>
      <c r="O738" s="2">
        <v>3</v>
      </c>
      <c r="P738" s="2">
        <v>120000</v>
      </c>
      <c r="Q738">
        <v>0.08</v>
      </c>
      <c r="R738" s="2">
        <v>331200</v>
      </c>
    </row>
    <row r="739" spans="1:18" x14ac:dyDescent="0.25">
      <c r="A739" t="s">
        <v>828</v>
      </c>
      <c r="B739" s="1">
        <v>45357</v>
      </c>
      <c r="C739" s="1" t="s">
        <v>56</v>
      </c>
      <c r="D739" t="s">
        <v>19</v>
      </c>
      <c r="E739" t="s">
        <v>814</v>
      </c>
      <c r="F739" t="s">
        <v>815</v>
      </c>
      <c r="G739" t="s">
        <v>414</v>
      </c>
      <c r="H739" t="s">
        <v>27</v>
      </c>
      <c r="I739" t="s">
        <v>75</v>
      </c>
      <c r="J739" t="s">
        <v>76</v>
      </c>
      <c r="K739" t="s">
        <v>49</v>
      </c>
      <c r="L739" t="s">
        <v>65</v>
      </c>
      <c r="M739" t="str">
        <f>INDEX( dim_segment!$A$2:$A$5,MATCH(L739,  dim_segment!$B$2:$B$5, 0))</f>
        <v>SEG003</v>
      </c>
      <c r="N739" t="s">
        <v>33</v>
      </c>
      <c r="O739" s="2">
        <v>1</v>
      </c>
      <c r="P739" s="2">
        <v>120000</v>
      </c>
      <c r="Q739">
        <v>0</v>
      </c>
      <c r="R739" s="2">
        <v>120000</v>
      </c>
    </row>
    <row r="740" spans="1:18" x14ac:dyDescent="0.25">
      <c r="A740" t="s">
        <v>829</v>
      </c>
      <c r="B740" s="1">
        <v>45392</v>
      </c>
      <c r="C740" s="1" t="s">
        <v>67</v>
      </c>
      <c r="D740" t="s">
        <v>68</v>
      </c>
      <c r="E740" t="s">
        <v>814</v>
      </c>
      <c r="F740" t="s">
        <v>815</v>
      </c>
      <c r="G740" t="s">
        <v>414</v>
      </c>
      <c r="H740" t="s">
        <v>27</v>
      </c>
      <c r="I740" t="s">
        <v>24</v>
      </c>
      <c r="J740" t="s">
        <v>25</v>
      </c>
      <c r="K740" t="s">
        <v>26</v>
      </c>
      <c r="L740" t="s">
        <v>27</v>
      </c>
      <c r="M740" t="str">
        <f>INDEX( dim_segment!$A$2:$A$5,MATCH(L740,  dim_segment!$B$2:$B$5, 0))</f>
        <v>SEG002</v>
      </c>
      <c r="N740" t="s">
        <v>37</v>
      </c>
      <c r="O740" s="2">
        <v>3</v>
      </c>
      <c r="P740" s="2">
        <v>75000</v>
      </c>
      <c r="Q740">
        <v>0.1</v>
      </c>
      <c r="R740" s="2">
        <v>202500</v>
      </c>
    </row>
    <row r="741" spans="1:18" x14ac:dyDescent="0.25">
      <c r="A741" t="s">
        <v>830</v>
      </c>
      <c r="B741" s="1">
        <v>45395</v>
      </c>
      <c r="C741" s="1" t="s">
        <v>67</v>
      </c>
      <c r="D741" t="s">
        <v>68</v>
      </c>
      <c r="E741" t="s">
        <v>814</v>
      </c>
      <c r="F741" t="s">
        <v>815</v>
      </c>
      <c r="G741" t="s">
        <v>414</v>
      </c>
      <c r="H741" t="s">
        <v>27</v>
      </c>
      <c r="I741" t="s">
        <v>35</v>
      </c>
      <c r="J741" t="s">
        <v>36</v>
      </c>
      <c r="K741" t="s">
        <v>32</v>
      </c>
      <c r="L741" t="s">
        <v>43</v>
      </c>
      <c r="M741" t="str">
        <f>INDEX( dim_segment!$A$2:$A$5,MATCH(L741,  dim_segment!$B$2:$B$5, 0))</f>
        <v>SEG004</v>
      </c>
      <c r="N741" t="s">
        <v>28</v>
      </c>
      <c r="O741" s="2">
        <v>5</v>
      </c>
      <c r="P741" s="2">
        <v>45000</v>
      </c>
      <c r="Q741">
        <v>0.1</v>
      </c>
      <c r="R741" s="2">
        <v>202500</v>
      </c>
    </row>
    <row r="742" spans="1:18" x14ac:dyDescent="0.25">
      <c r="A742" t="s">
        <v>831</v>
      </c>
      <c r="B742" s="1">
        <v>45390</v>
      </c>
      <c r="C742" s="1" t="s">
        <v>67</v>
      </c>
      <c r="D742" t="s">
        <v>68</v>
      </c>
      <c r="E742" t="s">
        <v>814</v>
      </c>
      <c r="F742" t="s">
        <v>815</v>
      </c>
      <c r="G742" t="s">
        <v>414</v>
      </c>
      <c r="H742" t="s">
        <v>27</v>
      </c>
      <c r="I742" t="s">
        <v>24</v>
      </c>
      <c r="J742" t="s">
        <v>25</v>
      </c>
      <c r="K742" t="s">
        <v>26</v>
      </c>
      <c r="L742" t="s">
        <v>27</v>
      </c>
      <c r="M742" t="str">
        <f>INDEX( dim_segment!$A$2:$A$5,MATCH(L742,  dim_segment!$B$2:$B$5, 0))</f>
        <v>SEG002</v>
      </c>
      <c r="N742" t="s">
        <v>28</v>
      </c>
      <c r="O742" s="2">
        <v>5</v>
      </c>
      <c r="P742" s="2">
        <v>75000</v>
      </c>
      <c r="Q742">
        <v>0.05</v>
      </c>
      <c r="R742" s="2">
        <v>356200</v>
      </c>
    </row>
    <row r="743" spans="1:18" x14ac:dyDescent="0.25">
      <c r="A743" t="s">
        <v>832</v>
      </c>
      <c r="B743" s="1">
        <v>45410</v>
      </c>
      <c r="C743" s="1" t="s">
        <v>67</v>
      </c>
      <c r="D743" t="s">
        <v>68</v>
      </c>
      <c r="E743" t="s">
        <v>814</v>
      </c>
      <c r="F743" t="s">
        <v>815</v>
      </c>
      <c r="G743" t="s">
        <v>414</v>
      </c>
      <c r="H743" t="s">
        <v>27</v>
      </c>
      <c r="I743" t="s">
        <v>47</v>
      </c>
      <c r="J743" t="s">
        <v>48</v>
      </c>
      <c r="K743" t="s">
        <v>49</v>
      </c>
      <c r="L743" t="s">
        <v>23</v>
      </c>
      <c r="M743" t="str">
        <f>INDEX( dim_segment!$A$2:$A$5,MATCH(L743,  dim_segment!$B$2:$B$5, 0))</f>
        <v>SEG001</v>
      </c>
      <c r="N743" t="s">
        <v>37</v>
      </c>
      <c r="O743" s="2">
        <v>2</v>
      </c>
      <c r="P743" s="2">
        <v>200000</v>
      </c>
      <c r="Q743">
        <v>0.04</v>
      </c>
      <c r="R743" s="2">
        <v>384000</v>
      </c>
    </row>
    <row r="744" spans="1:18" x14ac:dyDescent="0.25">
      <c r="A744" t="s">
        <v>833</v>
      </c>
      <c r="B744" s="1">
        <v>45409</v>
      </c>
      <c r="C744" s="1" t="s">
        <v>67</v>
      </c>
      <c r="D744" t="s">
        <v>68</v>
      </c>
      <c r="E744" t="s">
        <v>814</v>
      </c>
      <c r="F744" t="s">
        <v>815</v>
      </c>
      <c r="G744" t="s">
        <v>414</v>
      </c>
      <c r="H744" t="s">
        <v>27</v>
      </c>
      <c r="I744" t="s">
        <v>35</v>
      </c>
      <c r="J744" t="s">
        <v>36</v>
      </c>
      <c r="K744" t="s">
        <v>32</v>
      </c>
      <c r="L744" t="s">
        <v>23</v>
      </c>
      <c r="M744" t="str">
        <f>INDEX( dim_segment!$A$2:$A$5,MATCH(L744,  dim_segment!$B$2:$B$5, 0))</f>
        <v>SEG001</v>
      </c>
      <c r="N744" t="s">
        <v>33</v>
      </c>
      <c r="O744" s="2">
        <v>3</v>
      </c>
      <c r="P744" s="2">
        <v>45000</v>
      </c>
      <c r="Q744">
        <v>0.02</v>
      </c>
      <c r="R744" s="2">
        <v>132300</v>
      </c>
    </row>
    <row r="745" spans="1:18" x14ac:dyDescent="0.25">
      <c r="A745" t="s">
        <v>834</v>
      </c>
      <c r="B745" s="1">
        <v>45405</v>
      </c>
      <c r="C745" s="1" t="s">
        <v>67</v>
      </c>
      <c r="D745" t="s">
        <v>68</v>
      </c>
      <c r="E745" t="s">
        <v>814</v>
      </c>
      <c r="F745" t="s">
        <v>815</v>
      </c>
      <c r="G745" t="s">
        <v>414</v>
      </c>
      <c r="H745" t="s">
        <v>27</v>
      </c>
      <c r="I745" t="s">
        <v>75</v>
      </c>
      <c r="J745" t="s">
        <v>76</v>
      </c>
      <c r="K745" t="s">
        <v>49</v>
      </c>
      <c r="L745" t="s">
        <v>65</v>
      </c>
      <c r="M745" t="str">
        <f>INDEX( dim_segment!$A$2:$A$5,MATCH(L745,  dim_segment!$B$2:$B$5, 0))</f>
        <v>SEG003</v>
      </c>
      <c r="N745" t="s">
        <v>37</v>
      </c>
      <c r="O745" s="2">
        <v>1</v>
      </c>
      <c r="P745" s="2">
        <v>120000</v>
      </c>
      <c r="Q745">
        <v>0.1</v>
      </c>
      <c r="R745" s="2">
        <v>108000</v>
      </c>
    </row>
    <row r="746" spans="1:18" x14ac:dyDescent="0.25">
      <c r="A746" t="s">
        <v>835</v>
      </c>
      <c r="B746" s="1">
        <v>45424</v>
      </c>
      <c r="C746" s="1" t="s">
        <v>78</v>
      </c>
      <c r="D746" t="s">
        <v>68</v>
      </c>
      <c r="E746" t="s">
        <v>814</v>
      </c>
      <c r="F746" t="s">
        <v>815</v>
      </c>
      <c r="G746" t="s">
        <v>414</v>
      </c>
      <c r="H746" t="s">
        <v>27</v>
      </c>
      <c r="I746" t="s">
        <v>24</v>
      </c>
      <c r="J746" t="s">
        <v>25</v>
      </c>
      <c r="K746" t="s">
        <v>26</v>
      </c>
      <c r="L746" t="s">
        <v>23</v>
      </c>
      <c r="M746" t="str">
        <f>INDEX( dim_segment!$A$2:$A$5,MATCH(L746,  dim_segment!$B$2:$B$5, 0))</f>
        <v>SEG001</v>
      </c>
      <c r="N746" t="s">
        <v>37</v>
      </c>
      <c r="O746" s="2">
        <v>1</v>
      </c>
      <c r="P746" s="2">
        <v>75000</v>
      </c>
      <c r="Q746">
        <v>0.02</v>
      </c>
      <c r="R746" s="2">
        <v>73500</v>
      </c>
    </row>
    <row r="747" spans="1:18" x14ac:dyDescent="0.25">
      <c r="A747" t="s">
        <v>836</v>
      </c>
      <c r="B747" s="1">
        <v>45432</v>
      </c>
      <c r="C747" s="1" t="s">
        <v>78</v>
      </c>
      <c r="D747" t="s">
        <v>68</v>
      </c>
      <c r="E747" t="s">
        <v>814</v>
      </c>
      <c r="F747" t="s">
        <v>815</v>
      </c>
      <c r="G747" t="s">
        <v>414</v>
      </c>
      <c r="H747" t="s">
        <v>27</v>
      </c>
      <c r="I747" t="s">
        <v>24</v>
      </c>
      <c r="J747" t="s">
        <v>25</v>
      </c>
      <c r="K747" t="s">
        <v>26</v>
      </c>
      <c r="L747" t="s">
        <v>23</v>
      </c>
      <c r="M747" t="str">
        <f>INDEX( dim_segment!$A$2:$A$5,MATCH(L747,  dim_segment!$B$2:$B$5, 0))</f>
        <v>SEG001</v>
      </c>
      <c r="N747" t="s">
        <v>28</v>
      </c>
      <c r="O747" s="2">
        <v>3</v>
      </c>
      <c r="P747" s="2">
        <v>75000</v>
      </c>
      <c r="Q747">
        <v>0.06</v>
      </c>
      <c r="R747" s="2">
        <v>211500</v>
      </c>
    </row>
    <row r="748" spans="1:18" x14ac:dyDescent="0.25">
      <c r="A748" t="s">
        <v>837</v>
      </c>
      <c r="B748" s="1">
        <v>45438</v>
      </c>
      <c r="C748" s="1" t="s">
        <v>78</v>
      </c>
      <c r="D748" t="s">
        <v>68</v>
      </c>
      <c r="E748" t="s">
        <v>814</v>
      </c>
      <c r="F748" t="s">
        <v>815</v>
      </c>
      <c r="G748" t="s">
        <v>414</v>
      </c>
      <c r="H748" t="s">
        <v>27</v>
      </c>
      <c r="I748" t="s">
        <v>40</v>
      </c>
      <c r="J748" t="s">
        <v>41</v>
      </c>
      <c r="K748" t="s">
        <v>42</v>
      </c>
      <c r="L748" t="s">
        <v>65</v>
      </c>
      <c r="M748" t="str">
        <f>INDEX( dim_segment!$A$2:$A$5,MATCH(L748,  dim_segment!$B$2:$B$5, 0))</f>
        <v>SEG003</v>
      </c>
      <c r="N748" t="s">
        <v>54</v>
      </c>
      <c r="O748" s="2">
        <v>3</v>
      </c>
      <c r="P748" s="2">
        <v>85000</v>
      </c>
      <c r="Q748">
        <v>0.1</v>
      </c>
      <c r="R748" s="2">
        <v>229500</v>
      </c>
    </row>
    <row r="749" spans="1:18" x14ac:dyDescent="0.25">
      <c r="A749" t="s">
        <v>838</v>
      </c>
      <c r="B749" s="1">
        <v>45433</v>
      </c>
      <c r="C749" s="1" t="s">
        <v>78</v>
      </c>
      <c r="D749" t="s">
        <v>68</v>
      </c>
      <c r="E749" t="s">
        <v>814</v>
      </c>
      <c r="F749" t="s">
        <v>815</v>
      </c>
      <c r="G749" t="s">
        <v>414</v>
      </c>
      <c r="H749" t="s">
        <v>27</v>
      </c>
      <c r="I749" t="s">
        <v>60</v>
      </c>
      <c r="J749" t="s">
        <v>61</v>
      </c>
      <c r="K749" t="s">
        <v>26</v>
      </c>
      <c r="L749" t="s">
        <v>65</v>
      </c>
      <c r="M749" t="str">
        <f>INDEX( dim_segment!$A$2:$A$5,MATCH(L749,  dim_segment!$B$2:$B$5, 0))</f>
        <v>SEG003</v>
      </c>
      <c r="N749" t="s">
        <v>28</v>
      </c>
      <c r="O749" s="2">
        <v>1</v>
      </c>
      <c r="P749" s="2">
        <v>95000</v>
      </c>
      <c r="Q749">
        <v>0.1</v>
      </c>
      <c r="R749" s="2">
        <v>85500</v>
      </c>
    </row>
    <row r="750" spans="1:18" x14ac:dyDescent="0.25">
      <c r="A750" t="s">
        <v>839</v>
      </c>
      <c r="B750" s="1">
        <v>45448</v>
      </c>
      <c r="C750" s="1" t="s">
        <v>84</v>
      </c>
      <c r="D750" t="s">
        <v>68</v>
      </c>
      <c r="E750" t="s">
        <v>814</v>
      </c>
      <c r="F750" t="s">
        <v>815</v>
      </c>
      <c r="G750" t="s">
        <v>414</v>
      </c>
      <c r="H750" t="s">
        <v>27</v>
      </c>
      <c r="I750" t="s">
        <v>40</v>
      </c>
      <c r="J750" t="s">
        <v>41</v>
      </c>
      <c r="K750" t="s">
        <v>42</v>
      </c>
      <c r="L750" t="s">
        <v>27</v>
      </c>
      <c r="M750" t="str">
        <f>INDEX( dim_segment!$A$2:$A$5,MATCH(L750,  dim_segment!$B$2:$B$5, 0))</f>
        <v>SEG002</v>
      </c>
      <c r="N750" t="s">
        <v>28</v>
      </c>
      <c r="O750" s="2">
        <v>2</v>
      </c>
      <c r="P750" s="2">
        <v>85000</v>
      </c>
      <c r="Q750">
        <v>0.08</v>
      </c>
      <c r="R750" s="2">
        <v>156400</v>
      </c>
    </row>
    <row r="751" spans="1:18" x14ac:dyDescent="0.25">
      <c r="A751" t="s">
        <v>840</v>
      </c>
      <c r="B751" s="1">
        <v>45463</v>
      </c>
      <c r="C751" s="1" t="s">
        <v>84</v>
      </c>
      <c r="D751" t="s">
        <v>68</v>
      </c>
      <c r="E751" t="s">
        <v>814</v>
      </c>
      <c r="F751" t="s">
        <v>815</v>
      </c>
      <c r="G751" t="s">
        <v>414</v>
      </c>
      <c r="H751" t="s">
        <v>27</v>
      </c>
      <c r="I751" t="s">
        <v>24</v>
      </c>
      <c r="J751" t="s">
        <v>25</v>
      </c>
      <c r="K751" t="s">
        <v>26</v>
      </c>
      <c r="L751" t="s">
        <v>23</v>
      </c>
      <c r="M751" t="str">
        <f>INDEX( dim_segment!$A$2:$A$5,MATCH(L751,  dim_segment!$B$2:$B$5, 0))</f>
        <v>SEG001</v>
      </c>
      <c r="N751" t="s">
        <v>37</v>
      </c>
      <c r="O751" s="2">
        <v>5</v>
      </c>
      <c r="P751" s="2">
        <v>75000</v>
      </c>
      <c r="Q751">
        <v>0.08</v>
      </c>
      <c r="R751" s="2">
        <v>345000</v>
      </c>
    </row>
    <row r="752" spans="1:18" x14ac:dyDescent="0.25">
      <c r="A752" t="s">
        <v>841</v>
      </c>
      <c r="B752" s="1">
        <v>45448</v>
      </c>
      <c r="C752" s="1" t="s">
        <v>84</v>
      </c>
      <c r="D752" t="s">
        <v>68</v>
      </c>
      <c r="E752" t="s">
        <v>814</v>
      </c>
      <c r="F752" t="s">
        <v>815</v>
      </c>
      <c r="G752" t="s">
        <v>414</v>
      </c>
      <c r="H752" t="s">
        <v>27</v>
      </c>
      <c r="I752" t="s">
        <v>60</v>
      </c>
      <c r="J752" t="s">
        <v>61</v>
      </c>
      <c r="K752" t="s">
        <v>26</v>
      </c>
      <c r="L752" t="s">
        <v>43</v>
      </c>
      <c r="M752" t="str">
        <f>INDEX( dim_segment!$A$2:$A$5,MATCH(L752,  dim_segment!$B$2:$B$5, 0))</f>
        <v>SEG004</v>
      </c>
      <c r="N752" t="s">
        <v>33</v>
      </c>
      <c r="O752" s="2">
        <v>4</v>
      </c>
      <c r="P752" s="2">
        <v>95000</v>
      </c>
      <c r="Q752">
        <v>0.02</v>
      </c>
      <c r="R752" s="2">
        <v>372400</v>
      </c>
    </row>
    <row r="753" spans="1:18" x14ac:dyDescent="0.25">
      <c r="A753" t="s">
        <v>842</v>
      </c>
      <c r="B753" s="1">
        <v>45469</v>
      </c>
      <c r="C753" s="1" t="s">
        <v>84</v>
      </c>
      <c r="D753" t="s">
        <v>68</v>
      </c>
      <c r="E753" t="s">
        <v>814</v>
      </c>
      <c r="F753" t="s">
        <v>815</v>
      </c>
      <c r="G753" t="s">
        <v>414</v>
      </c>
      <c r="H753" t="s">
        <v>27</v>
      </c>
      <c r="I753" t="s">
        <v>30</v>
      </c>
      <c r="J753" t="s">
        <v>31</v>
      </c>
      <c r="K753" t="s">
        <v>32</v>
      </c>
      <c r="L753" t="s">
        <v>27</v>
      </c>
      <c r="M753" t="str">
        <f>INDEX( dim_segment!$A$2:$A$5,MATCH(L753,  dim_segment!$B$2:$B$5, 0))</f>
        <v>SEG002</v>
      </c>
      <c r="N753" t="s">
        <v>28</v>
      </c>
      <c r="O753" s="2">
        <v>2</v>
      </c>
      <c r="P753" s="2">
        <v>60000</v>
      </c>
      <c r="Q753">
        <v>0.11</v>
      </c>
      <c r="R753" s="2">
        <v>106800</v>
      </c>
    </row>
    <row r="754" spans="1:18" x14ac:dyDescent="0.25">
      <c r="A754" t="s">
        <v>843</v>
      </c>
      <c r="B754" s="1">
        <v>45456</v>
      </c>
      <c r="C754" s="1" t="s">
        <v>84</v>
      </c>
      <c r="D754" t="s">
        <v>68</v>
      </c>
      <c r="E754" t="s">
        <v>814</v>
      </c>
      <c r="F754" t="s">
        <v>815</v>
      </c>
      <c r="G754" t="s">
        <v>414</v>
      </c>
      <c r="H754" t="s">
        <v>27</v>
      </c>
      <c r="I754" t="s">
        <v>47</v>
      </c>
      <c r="J754" t="s">
        <v>48</v>
      </c>
      <c r="K754" t="s">
        <v>49</v>
      </c>
      <c r="L754" t="s">
        <v>23</v>
      </c>
      <c r="M754" t="str">
        <f>INDEX( dim_segment!$A$2:$A$5,MATCH(L754,  dim_segment!$B$2:$B$5, 0))</f>
        <v>SEG001</v>
      </c>
      <c r="N754" t="s">
        <v>54</v>
      </c>
      <c r="O754" s="2">
        <v>3</v>
      </c>
      <c r="P754" s="2">
        <v>200000</v>
      </c>
      <c r="Q754">
        <v>0.06</v>
      </c>
      <c r="R754" s="2">
        <v>564000</v>
      </c>
    </row>
    <row r="755" spans="1:18" x14ac:dyDescent="0.25">
      <c r="A755" t="s">
        <v>844</v>
      </c>
      <c r="B755" s="1">
        <v>45448</v>
      </c>
      <c r="C755" s="1" t="s">
        <v>84</v>
      </c>
      <c r="D755" t="s">
        <v>68</v>
      </c>
      <c r="E755" t="s">
        <v>814</v>
      </c>
      <c r="F755" t="s">
        <v>815</v>
      </c>
      <c r="G755" t="s">
        <v>414</v>
      </c>
      <c r="H755" t="s">
        <v>27</v>
      </c>
      <c r="I755" t="s">
        <v>51</v>
      </c>
      <c r="J755" t="s">
        <v>52</v>
      </c>
      <c r="K755" t="s">
        <v>42</v>
      </c>
      <c r="L755" t="s">
        <v>65</v>
      </c>
      <c r="M755" t="str">
        <f>INDEX( dim_segment!$A$2:$A$5,MATCH(L755,  dim_segment!$B$2:$B$5, 0))</f>
        <v>SEG003</v>
      </c>
      <c r="N755" t="s">
        <v>33</v>
      </c>
      <c r="O755" s="2">
        <v>2</v>
      </c>
      <c r="P755" s="2">
        <v>150000</v>
      </c>
      <c r="Q755">
        <v>0.11</v>
      </c>
      <c r="R755" s="2">
        <v>267000</v>
      </c>
    </row>
    <row r="756" spans="1:18" x14ac:dyDescent="0.25">
      <c r="A756" t="s">
        <v>845</v>
      </c>
      <c r="B756" s="1">
        <v>45448</v>
      </c>
      <c r="C756" s="1" t="s">
        <v>84</v>
      </c>
      <c r="D756" t="s">
        <v>68</v>
      </c>
      <c r="E756" t="s">
        <v>814</v>
      </c>
      <c r="F756" t="s">
        <v>815</v>
      </c>
      <c r="G756" t="s">
        <v>414</v>
      </c>
      <c r="H756" t="s">
        <v>27</v>
      </c>
      <c r="I756" t="s">
        <v>35</v>
      </c>
      <c r="J756" t="s">
        <v>36</v>
      </c>
      <c r="K756" t="s">
        <v>32</v>
      </c>
      <c r="L756" t="s">
        <v>65</v>
      </c>
      <c r="M756" t="str">
        <f>INDEX( dim_segment!$A$2:$A$5,MATCH(L756,  dim_segment!$B$2:$B$5, 0))</f>
        <v>SEG003</v>
      </c>
      <c r="N756" t="s">
        <v>28</v>
      </c>
      <c r="O756" s="2">
        <v>1</v>
      </c>
      <c r="P756" s="2">
        <v>45000</v>
      </c>
      <c r="Q756">
        <v>0.04</v>
      </c>
      <c r="R756" s="2">
        <v>43200</v>
      </c>
    </row>
    <row r="757" spans="1:18" x14ac:dyDescent="0.25">
      <c r="A757" t="s">
        <v>846</v>
      </c>
      <c r="B757" s="1">
        <v>45476</v>
      </c>
      <c r="C757" s="1" t="s">
        <v>92</v>
      </c>
      <c r="D757" t="s">
        <v>93</v>
      </c>
      <c r="E757" t="s">
        <v>814</v>
      </c>
      <c r="F757" t="s">
        <v>815</v>
      </c>
      <c r="G757" t="s">
        <v>414</v>
      </c>
      <c r="H757" t="s">
        <v>27</v>
      </c>
      <c r="I757" t="s">
        <v>51</v>
      </c>
      <c r="J757" t="s">
        <v>52</v>
      </c>
      <c r="K757" t="s">
        <v>42</v>
      </c>
      <c r="L757" t="s">
        <v>23</v>
      </c>
      <c r="M757" t="str">
        <f>INDEX( dim_segment!$A$2:$A$5,MATCH(L757,  dim_segment!$B$2:$B$5, 0))</f>
        <v>SEG001</v>
      </c>
      <c r="N757" t="s">
        <v>37</v>
      </c>
      <c r="O757" s="2">
        <v>4</v>
      </c>
      <c r="P757" s="2">
        <v>150000</v>
      </c>
      <c r="Q757">
        <v>0.05</v>
      </c>
      <c r="R757" s="2">
        <v>570000</v>
      </c>
    </row>
    <row r="758" spans="1:18" x14ac:dyDescent="0.25">
      <c r="A758" t="s">
        <v>847</v>
      </c>
      <c r="B758" s="1">
        <v>45480</v>
      </c>
      <c r="C758" s="1" t="s">
        <v>92</v>
      </c>
      <c r="D758" t="s">
        <v>93</v>
      </c>
      <c r="E758" t="s">
        <v>814</v>
      </c>
      <c r="F758" t="s">
        <v>815</v>
      </c>
      <c r="G758" t="s">
        <v>414</v>
      </c>
      <c r="H758" t="s">
        <v>27</v>
      </c>
      <c r="I758" t="s">
        <v>40</v>
      </c>
      <c r="J758" t="s">
        <v>41</v>
      </c>
      <c r="K758" t="s">
        <v>42</v>
      </c>
      <c r="L758" t="s">
        <v>27</v>
      </c>
      <c r="M758" t="str">
        <f>INDEX( dim_segment!$A$2:$A$5,MATCH(L758,  dim_segment!$B$2:$B$5, 0))</f>
        <v>SEG002</v>
      </c>
      <c r="N758" t="s">
        <v>54</v>
      </c>
      <c r="O758" s="2">
        <v>5</v>
      </c>
      <c r="P758" s="2">
        <v>85000</v>
      </c>
      <c r="Q758">
        <v>0.09</v>
      </c>
      <c r="R758" s="2">
        <v>386800</v>
      </c>
    </row>
    <row r="759" spans="1:18" x14ac:dyDescent="0.25">
      <c r="A759" t="s">
        <v>848</v>
      </c>
      <c r="B759" s="1">
        <v>45479</v>
      </c>
      <c r="C759" s="1" t="s">
        <v>92</v>
      </c>
      <c r="D759" t="s">
        <v>93</v>
      </c>
      <c r="E759" t="s">
        <v>814</v>
      </c>
      <c r="F759" t="s">
        <v>815</v>
      </c>
      <c r="G759" t="s">
        <v>414</v>
      </c>
      <c r="H759" t="s">
        <v>27</v>
      </c>
      <c r="I759" t="s">
        <v>24</v>
      </c>
      <c r="J759" t="s">
        <v>25</v>
      </c>
      <c r="K759" t="s">
        <v>26</v>
      </c>
      <c r="L759" t="s">
        <v>23</v>
      </c>
      <c r="M759" t="str">
        <f>INDEX( dim_segment!$A$2:$A$5,MATCH(L759,  dim_segment!$B$2:$B$5, 0))</f>
        <v>SEG001</v>
      </c>
      <c r="N759" t="s">
        <v>28</v>
      </c>
      <c r="O759" s="2">
        <v>2</v>
      </c>
      <c r="P759" s="2">
        <v>75000</v>
      </c>
      <c r="Q759">
        <v>0.09</v>
      </c>
      <c r="R759" s="2">
        <v>136500</v>
      </c>
    </row>
    <row r="760" spans="1:18" x14ac:dyDescent="0.25">
      <c r="A760" t="s">
        <v>849</v>
      </c>
      <c r="B760" s="1">
        <v>45496</v>
      </c>
      <c r="C760" s="1" t="s">
        <v>92</v>
      </c>
      <c r="D760" t="s">
        <v>93</v>
      </c>
      <c r="E760" t="s">
        <v>814</v>
      </c>
      <c r="F760" t="s">
        <v>815</v>
      </c>
      <c r="G760" t="s">
        <v>414</v>
      </c>
      <c r="H760" t="s">
        <v>27</v>
      </c>
      <c r="I760" t="s">
        <v>75</v>
      </c>
      <c r="J760" t="s">
        <v>76</v>
      </c>
      <c r="K760" t="s">
        <v>49</v>
      </c>
      <c r="L760" t="s">
        <v>65</v>
      </c>
      <c r="M760" t="str">
        <f>INDEX( dim_segment!$A$2:$A$5,MATCH(L760,  dim_segment!$B$2:$B$5, 0))</f>
        <v>SEG003</v>
      </c>
      <c r="N760" t="s">
        <v>33</v>
      </c>
      <c r="O760" s="2">
        <v>5</v>
      </c>
      <c r="P760" s="2">
        <v>120000</v>
      </c>
      <c r="Q760">
        <v>0.06</v>
      </c>
      <c r="R760" s="2">
        <v>564000</v>
      </c>
    </row>
    <row r="761" spans="1:18" x14ac:dyDescent="0.25">
      <c r="A761" t="s">
        <v>850</v>
      </c>
      <c r="B761" s="1">
        <v>45488</v>
      </c>
      <c r="C761" s="1" t="s">
        <v>92</v>
      </c>
      <c r="D761" t="s">
        <v>93</v>
      </c>
      <c r="E761" t="s">
        <v>814</v>
      </c>
      <c r="F761" t="s">
        <v>815</v>
      </c>
      <c r="G761" t="s">
        <v>414</v>
      </c>
      <c r="H761" t="s">
        <v>27</v>
      </c>
      <c r="I761" t="s">
        <v>75</v>
      </c>
      <c r="J761" t="s">
        <v>76</v>
      </c>
      <c r="K761" t="s">
        <v>49</v>
      </c>
      <c r="L761" t="s">
        <v>43</v>
      </c>
      <c r="M761" t="str">
        <f>INDEX( dim_segment!$A$2:$A$5,MATCH(L761,  dim_segment!$B$2:$B$5, 0))</f>
        <v>SEG004</v>
      </c>
      <c r="N761" t="s">
        <v>37</v>
      </c>
      <c r="O761" s="2">
        <v>3</v>
      </c>
      <c r="P761" s="2">
        <v>120000</v>
      </c>
      <c r="Q761">
        <v>0.06</v>
      </c>
      <c r="R761" s="2">
        <v>338400</v>
      </c>
    </row>
    <row r="762" spans="1:18" x14ac:dyDescent="0.25">
      <c r="A762" t="s">
        <v>851</v>
      </c>
      <c r="B762" s="1">
        <v>45521</v>
      </c>
      <c r="C762" s="1" t="s">
        <v>102</v>
      </c>
      <c r="D762" t="s">
        <v>93</v>
      </c>
      <c r="E762" t="s">
        <v>814</v>
      </c>
      <c r="F762" t="s">
        <v>815</v>
      </c>
      <c r="G762" t="s">
        <v>414</v>
      </c>
      <c r="H762" t="s">
        <v>27</v>
      </c>
      <c r="I762" t="s">
        <v>35</v>
      </c>
      <c r="J762" t="s">
        <v>36</v>
      </c>
      <c r="K762" t="s">
        <v>32</v>
      </c>
      <c r="L762" t="s">
        <v>65</v>
      </c>
      <c r="M762" t="str">
        <f>INDEX( dim_segment!$A$2:$A$5,MATCH(L762,  dim_segment!$B$2:$B$5, 0))</f>
        <v>SEG003</v>
      </c>
      <c r="N762" t="s">
        <v>37</v>
      </c>
      <c r="O762" s="2">
        <v>4</v>
      </c>
      <c r="P762" s="2">
        <v>45000</v>
      </c>
      <c r="Q762">
        <v>0.12</v>
      </c>
      <c r="R762" s="2">
        <v>158400</v>
      </c>
    </row>
    <row r="763" spans="1:18" x14ac:dyDescent="0.25">
      <c r="A763" t="s">
        <v>852</v>
      </c>
      <c r="B763" s="1">
        <v>45516</v>
      </c>
      <c r="C763" s="1" t="s">
        <v>102</v>
      </c>
      <c r="D763" t="s">
        <v>93</v>
      </c>
      <c r="E763" t="s">
        <v>814</v>
      </c>
      <c r="F763" t="s">
        <v>815</v>
      </c>
      <c r="G763" t="s">
        <v>414</v>
      </c>
      <c r="H763" t="s">
        <v>27</v>
      </c>
      <c r="I763" t="s">
        <v>35</v>
      </c>
      <c r="J763" t="s">
        <v>36</v>
      </c>
      <c r="K763" t="s">
        <v>32</v>
      </c>
      <c r="L763" t="s">
        <v>65</v>
      </c>
      <c r="M763" t="str">
        <f>INDEX( dim_segment!$A$2:$A$5,MATCH(L763,  dim_segment!$B$2:$B$5, 0))</f>
        <v>SEG003</v>
      </c>
      <c r="N763" t="s">
        <v>37</v>
      </c>
      <c r="O763" s="2">
        <v>3</v>
      </c>
      <c r="P763" s="2">
        <v>45000</v>
      </c>
      <c r="Q763">
        <v>0.06</v>
      </c>
      <c r="R763" s="2">
        <v>126900</v>
      </c>
    </row>
    <row r="764" spans="1:18" x14ac:dyDescent="0.25">
      <c r="A764" t="s">
        <v>853</v>
      </c>
      <c r="B764" s="1">
        <v>45515</v>
      </c>
      <c r="C764" s="1" t="s">
        <v>102</v>
      </c>
      <c r="D764" t="s">
        <v>93</v>
      </c>
      <c r="E764" t="s">
        <v>814</v>
      </c>
      <c r="F764" t="s">
        <v>815</v>
      </c>
      <c r="G764" t="s">
        <v>414</v>
      </c>
      <c r="H764" t="s">
        <v>27</v>
      </c>
      <c r="I764" t="s">
        <v>75</v>
      </c>
      <c r="J764" t="s">
        <v>76</v>
      </c>
      <c r="K764" t="s">
        <v>49</v>
      </c>
      <c r="L764" t="s">
        <v>23</v>
      </c>
      <c r="M764" t="str">
        <f>INDEX( dim_segment!$A$2:$A$5,MATCH(L764,  dim_segment!$B$2:$B$5, 0))</f>
        <v>SEG001</v>
      </c>
      <c r="N764" t="s">
        <v>54</v>
      </c>
      <c r="O764" s="2">
        <v>2</v>
      </c>
      <c r="P764" s="2">
        <v>120000</v>
      </c>
      <c r="Q764">
        <v>0.1</v>
      </c>
      <c r="R764" s="2">
        <v>216000</v>
      </c>
    </row>
    <row r="765" spans="1:18" x14ac:dyDescent="0.25">
      <c r="A765" t="s">
        <v>854</v>
      </c>
      <c r="B765" s="1">
        <v>45558</v>
      </c>
      <c r="C765" s="1" t="s">
        <v>106</v>
      </c>
      <c r="D765" t="s">
        <v>93</v>
      </c>
      <c r="E765" t="s">
        <v>814</v>
      </c>
      <c r="F765" t="s">
        <v>815</v>
      </c>
      <c r="G765" t="s">
        <v>414</v>
      </c>
      <c r="H765" t="s">
        <v>27</v>
      </c>
      <c r="I765" t="s">
        <v>30</v>
      </c>
      <c r="J765" t="s">
        <v>31</v>
      </c>
      <c r="K765" t="s">
        <v>32</v>
      </c>
      <c r="L765" t="s">
        <v>65</v>
      </c>
      <c r="M765" t="str">
        <f>INDEX( dim_segment!$A$2:$A$5,MATCH(L765,  dim_segment!$B$2:$B$5, 0))</f>
        <v>SEG003</v>
      </c>
      <c r="N765" t="s">
        <v>28</v>
      </c>
      <c r="O765" s="2">
        <v>2</v>
      </c>
      <c r="P765" s="2">
        <v>60000</v>
      </c>
      <c r="Q765">
        <v>0.02</v>
      </c>
      <c r="R765" s="2">
        <v>117600</v>
      </c>
    </row>
    <row r="766" spans="1:18" x14ac:dyDescent="0.25">
      <c r="A766" t="s">
        <v>855</v>
      </c>
      <c r="B766" s="1">
        <v>45547</v>
      </c>
      <c r="C766" s="1" t="s">
        <v>106</v>
      </c>
      <c r="D766" t="s">
        <v>93</v>
      </c>
      <c r="E766" t="s">
        <v>814</v>
      </c>
      <c r="F766" t="s">
        <v>815</v>
      </c>
      <c r="G766" t="s">
        <v>414</v>
      </c>
      <c r="H766" t="s">
        <v>27</v>
      </c>
      <c r="I766" t="s">
        <v>35</v>
      </c>
      <c r="J766" t="s">
        <v>36</v>
      </c>
      <c r="K766" t="s">
        <v>32</v>
      </c>
      <c r="L766" t="s">
        <v>27</v>
      </c>
      <c r="M766" t="str">
        <f>INDEX( dim_segment!$A$2:$A$5,MATCH(L766,  dim_segment!$B$2:$B$5, 0))</f>
        <v>SEG002</v>
      </c>
      <c r="N766" t="s">
        <v>28</v>
      </c>
      <c r="O766" s="2">
        <v>2</v>
      </c>
      <c r="P766" s="2">
        <v>45000</v>
      </c>
      <c r="Q766">
        <v>7.0000000000000007E-2</v>
      </c>
      <c r="R766" s="2">
        <v>83700</v>
      </c>
    </row>
    <row r="767" spans="1:18" x14ac:dyDescent="0.25">
      <c r="A767" t="s">
        <v>856</v>
      </c>
      <c r="B767" s="1">
        <v>45536</v>
      </c>
      <c r="C767" s="1" t="s">
        <v>106</v>
      </c>
      <c r="D767" t="s">
        <v>93</v>
      </c>
      <c r="E767" t="s">
        <v>814</v>
      </c>
      <c r="F767" t="s">
        <v>815</v>
      </c>
      <c r="G767" t="s">
        <v>414</v>
      </c>
      <c r="H767" t="s">
        <v>27</v>
      </c>
      <c r="I767" t="s">
        <v>24</v>
      </c>
      <c r="J767" t="s">
        <v>25</v>
      </c>
      <c r="K767" t="s">
        <v>26</v>
      </c>
      <c r="L767" t="s">
        <v>43</v>
      </c>
      <c r="M767" t="str">
        <f>INDEX( dim_segment!$A$2:$A$5,MATCH(L767,  dim_segment!$B$2:$B$5, 0))</f>
        <v>SEG004</v>
      </c>
      <c r="N767" t="s">
        <v>37</v>
      </c>
      <c r="O767" s="2">
        <v>1</v>
      </c>
      <c r="P767" s="2">
        <v>75000</v>
      </c>
      <c r="Q767">
        <v>0.05</v>
      </c>
      <c r="R767" s="2">
        <v>71200</v>
      </c>
    </row>
    <row r="768" spans="1:18" x14ac:dyDescent="0.25">
      <c r="A768" t="s">
        <v>857</v>
      </c>
      <c r="B768" s="1">
        <v>45558</v>
      </c>
      <c r="C768" s="1" t="s">
        <v>106</v>
      </c>
      <c r="D768" t="s">
        <v>93</v>
      </c>
      <c r="E768" t="s">
        <v>814</v>
      </c>
      <c r="F768" t="s">
        <v>815</v>
      </c>
      <c r="G768" t="s">
        <v>414</v>
      </c>
      <c r="H768" t="s">
        <v>27</v>
      </c>
      <c r="I768" t="s">
        <v>51</v>
      </c>
      <c r="J768" t="s">
        <v>52</v>
      </c>
      <c r="K768" t="s">
        <v>42</v>
      </c>
      <c r="L768" t="s">
        <v>23</v>
      </c>
      <c r="M768" t="str">
        <f>INDEX( dim_segment!$A$2:$A$5,MATCH(L768,  dim_segment!$B$2:$B$5, 0))</f>
        <v>SEG001</v>
      </c>
      <c r="N768" t="s">
        <v>33</v>
      </c>
      <c r="O768" s="2">
        <v>3</v>
      </c>
      <c r="P768" s="2">
        <v>150000</v>
      </c>
      <c r="Q768">
        <v>0.04</v>
      </c>
      <c r="R768" s="2">
        <v>432000</v>
      </c>
    </row>
    <row r="769" spans="1:18" x14ac:dyDescent="0.25">
      <c r="A769" t="s">
        <v>858</v>
      </c>
      <c r="B769" s="1">
        <v>45538</v>
      </c>
      <c r="C769" s="1" t="s">
        <v>106</v>
      </c>
      <c r="D769" t="s">
        <v>93</v>
      </c>
      <c r="E769" t="s">
        <v>814</v>
      </c>
      <c r="F769" t="s">
        <v>815</v>
      </c>
      <c r="G769" t="s">
        <v>414</v>
      </c>
      <c r="H769" t="s">
        <v>27</v>
      </c>
      <c r="I769" t="s">
        <v>51</v>
      </c>
      <c r="J769" t="s">
        <v>52</v>
      </c>
      <c r="K769" t="s">
        <v>42</v>
      </c>
      <c r="L769" t="s">
        <v>65</v>
      </c>
      <c r="M769" t="str">
        <f>INDEX( dim_segment!$A$2:$A$5,MATCH(L769,  dim_segment!$B$2:$B$5, 0))</f>
        <v>SEG003</v>
      </c>
      <c r="N769" t="s">
        <v>28</v>
      </c>
      <c r="O769" s="2">
        <v>5</v>
      </c>
      <c r="P769" s="2">
        <v>150000</v>
      </c>
      <c r="Q769">
        <v>0.11</v>
      </c>
      <c r="R769" s="2">
        <v>667500</v>
      </c>
    </row>
    <row r="770" spans="1:18" x14ac:dyDescent="0.25">
      <c r="A770" t="s">
        <v>859</v>
      </c>
      <c r="B770" s="1">
        <v>45545</v>
      </c>
      <c r="C770" s="1" t="s">
        <v>106</v>
      </c>
      <c r="D770" t="s">
        <v>93</v>
      </c>
      <c r="E770" t="s">
        <v>814</v>
      </c>
      <c r="F770" t="s">
        <v>815</v>
      </c>
      <c r="G770" t="s">
        <v>414</v>
      </c>
      <c r="H770" t="s">
        <v>27</v>
      </c>
      <c r="I770" t="s">
        <v>51</v>
      </c>
      <c r="J770" t="s">
        <v>52</v>
      </c>
      <c r="K770" t="s">
        <v>42</v>
      </c>
      <c r="L770" t="s">
        <v>43</v>
      </c>
      <c r="M770" t="str">
        <f>INDEX( dim_segment!$A$2:$A$5,MATCH(L770,  dim_segment!$B$2:$B$5, 0))</f>
        <v>SEG004</v>
      </c>
      <c r="N770" t="s">
        <v>28</v>
      </c>
      <c r="O770" s="2">
        <v>4</v>
      </c>
      <c r="P770" s="2">
        <v>150000</v>
      </c>
      <c r="Q770">
        <v>0.05</v>
      </c>
      <c r="R770" s="2">
        <v>570000</v>
      </c>
    </row>
    <row r="771" spans="1:18" x14ac:dyDescent="0.25">
      <c r="A771" t="s">
        <v>860</v>
      </c>
      <c r="B771" s="1">
        <v>45560</v>
      </c>
      <c r="C771" s="1" t="s">
        <v>106</v>
      </c>
      <c r="D771" t="s">
        <v>93</v>
      </c>
      <c r="E771" t="s">
        <v>814</v>
      </c>
      <c r="F771" t="s">
        <v>815</v>
      </c>
      <c r="G771" t="s">
        <v>414</v>
      </c>
      <c r="H771" t="s">
        <v>27</v>
      </c>
      <c r="I771" t="s">
        <v>24</v>
      </c>
      <c r="J771" t="s">
        <v>25</v>
      </c>
      <c r="K771" t="s">
        <v>26</v>
      </c>
      <c r="L771" t="s">
        <v>23</v>
      </c>
      <c r="M771" t="str">
        <f>INDEX( dim_segment!$A$2:$A$5,MATCH(L771,  dim_segment!$B$2:$B$5, 0))</f>
        <v>SEG001</v>
      </c>
      <c r="N771" t="s">
        <v>54</v>
      </c>
      <c r="O771" s="2">
        <v>2</v>
      </c>
      <c r="P771" s="2">
        <v>75000</v>
      </c>
      <c r="Q771">
        <v>0.06</v>
      </c>
      <c r="R771" s="2">
        <v>141000</v>
      </c>
    </row>
    <row r="772" spans="1:18" x14ac:dyDescent="0.25">
      <c r="A772" t="s">
        <v>861</v>
      </c>
      <c r="B772" s="1">
        <v>45566</v>
      </c>
      <c r="C772" s="1" t="s">
        <v>115</v>
      </c>
      <c r="D772" t="s">
        <v>116</v>
      </c>
      <c r="E772" t="s">
        <v>814</v>
      </c>
      <c r="F772" t="s">
        <v>815</v>
      </c>
      <c r="G772" t="s">
        <v>414</v>
      </c>
      <c r="H772" t="s">
        <v>27</v>
      </c>
      <c r="I772" t="s">
        <v>51</v>
      </c>
      <c r="J772" t="s">
        <v>52</v>
      </c>
      <c r="K772" t="s">
        <v>42</v>
      </c>
      <c r="L772" t="s">
        <v>43</v>
      </c>
      <c r="M772" t="str">
        <f>INDEX( dim_segment!$A$2:$A$5,MATCH(L772,  dim_segment!$B$2:$B$5, 0))</f>
        <v>SEG004</v>
      </c>
      <c r="N772" t="s">
        <v>37</v>
      </c>
      <c r="O772" s="2">
        <v>1</v>
      </c>
      <c r="P772" s="2">
        <v>150000</v>
      </c>
      <c r="Q772">
        <v>0.09</v>
      </c>
      <c r="R772" s="2">
        <v>136500</v>
      </c>
    </row>
    <row r="773" spans="1:18" x14ac:dyDescent="0.25">
      <c r="A773" t="s">
        <v>862</v>
      </c>
      <c r="B773" s="1">
        <v>45575</v>
      </c>
      <c r="C773" s="1" t="s">
        <v>115</v>
      </c>
      <c r="D773" t="s">
        <v>116</v>
      </c>
      <c r="E773" t="s">
        <v>814</v>
      </c>
      <c r="F773" t="s">
        <v>815</v>
      </c>
      <c r="G773" t="s">
        <v>414</v>
      </c>
      <c r="H773" t="s">
        <v>27</v>
      </c>
      <c r="I773" t="s">
        <v>40</v>
      </c>
      <c r="J773" t="s">
        <v>41</v>
      </c>
      <c r="K773" t="s">
        <v>42</v>
      </c>
      <c r="L773" t="s">
        <v>43</v>
      </c>
      <c r="M773" t="str">
        <f>INDEX( dim_segment!$A$2:$A$5,MATCH(L773,  dim_segment!$B$2:$B$5, 0))</f>
        <v>SEG004</v>
      </c>
      <c r="N773" t="s">
        <v>37</v>
      </c>
      <c r="O773" s="2">
        <v>3</v>
      </c>
      <c r="P773" s="2">
        <v>85000</v>
      </c>
      <c r="Q773">
        <v>0.05</v>
      </c>
      <c r="R773" s="2">
        <v>242200</v>
      </c>
    </row>
    <row r="774" spans="1:18" x14ac:dyDescent="0.25">
      <c r="A774" t="s">
        <v>863</v>
      </c>
      <c r="B774" s="1">
        <v>45590</v>
      </c>
      <c r="C774" s="1" t="s">
        <v>115</v>
      </c>
      <c r="D774" t="s">
        <v>116</v>
      </c>
      <c r="E774" t="s">
        <v>814</v>
      </c>
      <c r="F774" t="s">
        <v>815</v>
      </c>
      <c r="G774" t="s">
        <v>414</v>
      </c>
      <c r="H774" t="s">
        <v>27</v>
      </c>
      <c r="I774" t="s">
        <v>35</v>
      </c>
      <c r="J774" t="s">
        <v>36</v>
      </c>
      <c r="K774" t="s">
        <v>32</v>
      </c>
      <c r="L774" t="s">
        <v>23</v>
      </c>
      <c r="M774" t="str">
        <f>INDEX( dim_segment!$A$2:$A$5,MATCH(L774,  dim_segment!$B$2:$B$5, 0))</f>
        <v>SEG001</v>
      </c>
      <c r="N774" t="s">
        <v>37</v>
      </c>
      <c r="O774" s="2">
        <v>2</v>
      </c>
      <c r="P774" s="2">
        <v>45000</v>
      </c>
      <c r="Q774">
        <v>0.09</v>
      </c>
      <c r="R774" s="2">
        <v>81900</v>
      </c>
    </row>
    <row r="775" spans="1:18" x14ac:dyDescent="0.25">
      <c r="A775" t="s">
        <v>864</v>
      </c>
      <c r="B775" s="1">
        <v>45574</v>
      </c>
      <c r="C775" s="1" t="s">
        <v>115</v>
      </c>
      <c r="D775" t="s">
        <v>116</v>
      </c>
      <c r="E775" t="s">
        <v>814</v>
      </c>
      <c r="F775" t="s">
        <v>815</v>
      </c>
      <c r="G775" t="s">
        <v>414</v>
      </c>
      <c r="H775" t="s">
        <v>27</v>
      </c>
      <c r="I775" t="s">
        <v>40</v>
      </c>
      <c r="J775" t="s">
        <v>41</v>
      </c>
      <c r="K775" t="s">
        <v>42</v>
      </c>
      <c r="L775" t="s">
        <v>27</v>
      </c>
      <c r="M775" t="str">
        <f>INDEX( dim_segment!$A$2:$A$5,MATCH(L775,  dim_segment!$B$2:$B$5, 0))</f>
        <v>SEG002</v>
      </c>
      <c r="N775" t="s">
        <v>33</v>
      </c>
      <c r="O775" s="2">
        <v>4</v>
      </c>
      <c r="P775" s="2">
        <v>85000</v>
      </c>
      <c r="Q775">
        <v>0.11</v>
      </c>
      <c r="R775" s="2">
        <v>302600</v>
      </c>
    </row>
    <row r="776" spans="1:18" x14ac:dyDescent="0.25">
      <c r="A776" t="s">
        <v>865</v>
      </c>
      <c r="B776" s="1">
        <v>45577</v>
      </c>
      <c r="C776" s="1" t="s">
        <v>115</v>
      </c>
      <c r="D776" t="s">
        <v>116</v>
      </c>
      <c r="E776" t="s">
        <v>814</v>
      </c>
      <c r="F776" t="s">
        <v>815</v>
      </c>
      <c r="G776" t="s">
        <v>414</v>
      </c>
      <c r="H776" t="s">
        <v>27</v>
      </c>
      <c r="I776" t="s">
        <v>35</v>
      </c>
      <c r="J776" t="s">
        <v>36</v>
      </c>
      <c r="K776" t="s">
        <v>32</v>
      </c>
      <c r="L776" t="s">
        <v>65</v>
      </c>
      <c r="M776" t="str">
        <f>INDEX( dim_segment!$A$2:$A$5,MATCH(L776,  dim_segment!$B$2:$B$5, 0))</f>
        <v>SEG003</v>
      </c>
      <c r="N776" t="s">
        <v>37</v>
      </c>
      <c r="O776" s="2">
        <v>5</v>
      </c>
      <c r="P776" s="2">
        <v>45000</v>
      </c>
      <c r="Q776">
        <v>0.01</v>
      </c>
      <c r="R776" s="2">
        <v>222800</v>
      </c>
    </row>
    <row r="777" spans="1:18" x14ac:dyDescent="0.25">
      <c r="A777" t="s">
        <v>866</v>
      </c>
      <c r="B777" s="1">
        <v>45579</v>
      </c>
      <c r="C777" s="1" t="s">
        <v>115</v>
      </c>
      <c r="D777" t="s">
        <v>116</v>
      </c>
      <c r="E777" t="s">
        <v>814</v>
      </c>
      <c r="F777" t="s">
        <v>815</v>
      </c>
      <c r="G777" t="s">
        <v>414</v>
      </c>
      <c r="H777" t="s">
        <v>27</v>
      </c>
      <c r="I777" t="s">
        <v>24</v>
      </c>
      <c r="J777" t="s">
        <v>25</v>
      </c>
      <c r="K777" t="s">
        <v>26</v>
      </c>
      <c r="L777" t="s">
        <v>27</v>
      </c>
      <c r="M777" t="str">
        <f>INDEX( dim_segment!$A$2:$A$5,MATCH(L777,  dim_segment!$B$2:$B$5, 0))</f>
        <v>SEG002</v>
      </c>
      <c r="N777" t="s">
        <v>37</v>
      </c>
      <c r="O777" s="2">
        <v>1</v>
      </c>
      <c r="P777" s="2">
        <v>75000</v>
      </c>
      <c r="Q777">
        <v>0.02</v>
      </c>
      <c r="R777" s="2">
        <v>73500</v>
      </c>
    </row>
    <row r="778" spans="1:18" x14ac:dyDescent="0.25">
      <c r="A778" t="s">
        <v>867</v>
      </c>
      <c r="B778" s="1">
        <v>45615</v>
      </c>
      <c r="C778" s="1" t="s">
        <v>125</v>
      </c>
      <c r="D778" t="s">
        <v>116</v>
      </c>
      <c r="E778" t="s">
        <v>814</v>
      </c>
      <c r="F778" t="s">
        <v>815</v>
      </c>
      <c r="G778" t="s">
        <v>414</v>
      </c>
      <c r="H778" t="s">
        <v>27</v>
      </c>
      <c r="I778" t="s">
        <v>47</v>
      </c>
      <c r="J778" t="s">
        <v>48</v>
      </c>
      <c r="K778" t="s">
        <v>49</v>
      </c>
      <c r="L778" t="s">
        <v>27</v>
      </c>
      <c r="M778" t="str">
        <f>INDEX( dim_segment!$A$2:$A$5,MATCH(L778,  dim_segment!$B$2:$B$5, 0))</f>
        <v>SEG002</v>
      </c>
      <c r="N778" t="s">
        <v>33</v>
      </c>
      <c r="O778" s="2">
        <v>5</v>
      </c>
      <c r="P778" s="2">
        <v>200000</v>
      </c>
      <c r="Q778">
        <v>0.05</v>
      </c>
      <c r="R778" s="2">
        <v>950000</v>
      </c>
    </row>
    <row r="779" spans="1:18" x14ac:dyDescent="0.25">
      <c r="A779" t="s">
        <v>868</v>
      </c>
      <c r="B779" s="1">
        <v>45611</v>
      </c>
      <c r="C779" s="1" t="s">
        <v>125</v>
      </c>
      <c r="D779" t="s">
        <v>116</v>
      </c>
      <c r="E779" t="s">
        <v>814</v>
      </c>
      <c r="F779" t="s">
        <v>815</v>
      </c>
      <c r="G779" t="s">
        <v>414</v>
      </c>
      <c r="H779" t="s">
        <v>27</v>
      </c>
      <c r="I779" t="s">
        <v>30</v>
      </c>
      <c r="J779" t="s">
        <v>31</v>
      </c>
      <c r="K779" t="s">
        <v>32</v>
      </c>
      <c r="L779" t="s">
        <v>23</v>
      </c>
      <c r="M779" t="str">
        <f>INDEX( dim_segment!$A$2:$A$5,MATCH(L779,  dim_segment!$B$2:$B$5, 0))</f>
        <v>SEG001</v>
      </c>
      <c r="N779" t="s">
        <v>28</v>
      </c>
      <c r="O779" s="2">
        <v>3</v>
      </c>
      <c r="P779" s="2">
        <v>60000</v>
      </c>
      <c r="Q779">
        <v>0.11</v>
      </c>
      <c r="R779" s="2">
        <v>160200</v>
      </c>
    </row>
    <row r="780" spans="1:18" x14ac:dyDescent="0.25">
      <c r="A780" t="s">
        <v>869</v>
      </c>
      <c r="B780" s="1">
        <v>45641</v>
      </c>
      <c r="C780" s="1" t="s">
        <v>134</v>
      </c>
      <c r="D780" t="s">
        <v>116</v>
      </c>
      <c r="E780" t="s">
        <v>814</v>
      </c>
      <c r="F780" t="s">
        <v>815</v>
      </c>
      <c r="G780" t="s">
        <v>414</v>
      </c>
      <c r="H780" t="s">
        <v>27</v>
      </c>
      <c r="I780" t="s">
        <v>35</v>
      </c>
      <c r="J780" t="s">
        <v>36</v>
      </c>
      <c r="K780" t="s">
        <v>32</v>
      </c>
      <c r="L780" t="s">
        <v>27</v>
      </c>
      <c r="M780" t="str">
        <f>INDEX( dim_segment!$A$2:$A$5,MATCH(L780,  dim_segment!$B$2:$B$5, 0))</f>
        <v>SEG002</v>
      </c>
      <c r="N780" t="s">
        <v>33</v>
      </c>
      <c r="O780" s="2">
        <v>5</v>
      </c>
      <c r="P780" s="2">
        <v>45000</v>
      </c>
      <c r="Q780">
        <v>0.11</v>
      </c>
      <c r="R780" s="2">
        <v>200200</v>
      </c>
    </row>
    <row r="781" spans="1:18" x14ac:dyDescent="0.25">
      <c r="A781" t="s">
        <v>870</v>
      </c>
      <c r="B781" s="1">
        <v>45648</v>
      </c>
      <c r="C781" s="1" t="s">
        <v>134</v>
      </c>
      <c r="D781" t="s">
        <v>116</v>
      </c>
      <c r="E781" t="s">
        <v>814</v>
      </c>
      <c r="F781" t="s">
        <v>815</v>
      </c>
      <c r="G781" t="s">
        <v>414</v>
      </c>
      <c r="H781" t="s">
        <v>27</v>
      </c>
      <c r="I781" t="s">
        <v>30</v>
      </c>
      <c r="J781" t="s">
        <v>31</v>
      </c>
      <c r="K781" t="s">
        <v>32</v>
      </c>
      <c r="L781" t="s">
        <v>23</v>
      </c>
      <c r="M781" t="str">
        <f>INDEX( dim_segment!$A$2:$A$5,MATCH(L781,  dim_segment!$B$2:$B$5, 0))</f>
        <v>SEG001</v>
      </c>
      <c r="N781" t="s">
        <v>37</v>
      </c>
      <c r="O781" s="2">
        <v>5</v>
      </c>
      <c r="P781" s="2">
        <v>60000</v>
      </c>
      <c r="Q781">
        <v>0.05</v>
      </c>
      <c r="R781" s="2">
        <v>285000</v>
      </c>
    </row>
    <row r="782" spans="1:18" x14ac:dyDescent="0.25">
      <c r="A782" t="s">
        <v>871</v>
      </c>
      <c r="B782" s="1">
        <v>45654</v>
      </c>
      <c r="C782" s="1" t="s">
        <v>134</v>
      </c>
      <c r="D782" t="s">
        <v>116</v>
      </c>
      <c r="E782" t="s">
        <v>814</v>
      </c>
      <c r="F782" t="s">
        <v>815</v>
      </c>
      <c r="G782" t="s">
        <v>414</v>
      </c>
      <c r="H782" t="s">
        <v>27</v>
      </c>
      <c r="I782" t="s">
        <v>24</v>
      </c>
      <c r="J782" t="s">
        <v>25</v>
      </c>
      <c r="K782" t="s">
        <v>26</v>
      </c>
      <c r="L782" t="s">
        <v>43</v>
      </c>
      <c r="M782" t="str">
        <f>INDEX( dim_segment!$A$2:$A$5,MATCH(L782,  dim_segment!$B$2:$B$5, 0))</f>
        <v>SEG004</v>
      </c>
      <c r="N782" t="s">
        <v>28</v>
      </c>
      <c r="O782" s="2">
        <v>2</v>
      </c>
      <c r="P782" s="2">
        <v>75000</v>
      </c>
      <c r="Q782">
        <v>0.01</v>
      </c>
      <c r="R782" s="2">
        <v>148500</v>
      </c>
    </row>
    <row r="783" spans="1:18" x14ac:dyDescent="0.25">
      <c r="A783" t="s">
        <v>872</v>
      </c>
      <c r="B783" s="1">
        <v>45654</v>
      </c>
      <c r="C783" s="1" t="s">
        <v>134</v>
      </c>
      <c r="D783" t="s">
        <v>116</v>
      </c>
      <c r="E783" t="s">
        <v>814</v>
      </c>
      <c r="F783" t="s">
        <v>815</v>
      </c>
      <c r="G783" t="s">
        <v>414</v>
      </c>
      <c r="H783" t="s">
        <v>27</v>
      </c>
      <c r="I783" t="s">
        <v>75</v>
      </c>
      <c r="J783" t="s">
        <v>76</v>
      </c>
      <c r="K783" t="s">
        <v>49</v>
      </c>
      <c r="L783" t="s">
        <v>65</v>
      </c>
      <c r="M783" t="str">
        <f>INDEX( dim_segment!$A$2:$A$5,MATCH(L783,  dim_segment!$B$2:$B$5, 0))</f>
        <v>SEG003</v>
      </c>
      <c r="N783" t="s">
        <v>28</v>
      </c>
      <c r="O783" s="2">
        <v>5</v>
      </c>
      <c r="P783" s="2">
        <v>120000</v>
      </c>
      <c r="Q783">
        <v>7.0000000000000007E-2</v>
      </c>
      <c r="R783" s="2">
        <v>558000</v>
      </c>
    </row>
    <row r="784" spans="1:18" x14ac:dyDescent="0.25">
      <c r="A784" t="s">
        <v>873</v>
      </c>
      <c r="B784" s="1">
        <v>45643</v>
      </c>
      <c r="C784" s="1" t="s">
        <v>134</v>
      </c>
      <c r="D784" t="s">
        <v>116</v>
      </c>
      <c r="E784" t="s">
        <v>814</v>
      </c>
      <c r="F784" t="s">
        <v>815</v>
      </c>
      <c r="G784" t="s">
        <v>414</v>
      </c>
      <c r="H784" t="s">
        <v>27</v>
      </c>
      <c r="I784" t="s">
        <v>30</v>
      </c>
      <c r="J784" t="s">
        <v>31</v>
      </c>
      <c r="K784" t="s">
        <v>32</v>
      </c>
      <c r="L784" t="s">
        <v>27</v>
      </c>
      <c r="M784" t="str">
        <f>INDEX( dim_segment!$A$2:$A$5,MATCH(L784,  dim_segment!$B$2:$B$5, 0))</f>
        <v>SEG002</v>
      </c>
      <c r="N784" t="s">
        <v>33</v>
      </c>
      <c r="O784" s="2">
        <v>4</v>
      </c>
      <c r="P784" s="2">
        <v>60000</v>
      </c>
      <c r="Q784">
        <v>0.09</v>
      </c>
      <c r="R784" s="2">
        <v>218400</v>
      </c>
    </row>
    <row r="785" spans="1:18" x14ac:dyDescent="0.25">
      <c r="A785" t="s">
        <v>874</v>
      </c>
      <c r="B785" s="1">
        <v>45634</v>
      </c>
      <c r="C785" s="1" t="s">
        <v>134</v>
      </c>
      <c r="D785" t="s">
        <v>116</v>
      </c>
      <c r="E785" t="s">
        <v>814</v>
      </c>
      <c r="F785" t="s">
        <v>815</v>
      </c>
      <c r="G785" t="s">
        <v>414</v>
      </c>
      <c r="H785" t="s">
        <v>27</v>
      </c>
      <c r="I785" t="s">
        <v>75</v>
      </c>
      <c r="J785" t="s">
        <v>76</v>
      </c>
      <c r="K785" t="s">
        <v>49</v>
      </c>
      <c r="L785" t="s">
        <v>23</v>
      </c>
      <c r="M785" t="str">
        <f>INDEX( dim_segment!$A$2:$A$5,MATCH(L785,  dim_segment!$B$2:$B$5, 0))</f>
        <v>SEG001</v>
      </c>
      <c r="N785" t="s">
        <v>37</v>
      </c>
      <c r="O785" s="2">
        <v>2</v>
      </c>
      <c r="P785" s="2">
        <v>120000</v>
      </c>
      <c r="Q785">
        <v>0.1</v>
      </c>
      <c r="R785" s="2">
        <v>216000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EAC1-3999-433D-AC6D-519F0A2AA28D}">
  <dimension ref="A1:D13"/>
  <sheetViews>
    <sheetView workbookViewId="0">
      <selection sqref="A1:D1048576"/>
    </sheetView>
  </sheetViews>
  <sheetFormatPr defaultRowHeight="15" x14ac:dyDescent="0.25"/>
  <cols>
    <col min="1" max="4" width="16"/>
  </cols>
  <sheetData>
    <row r="1" spans="1:4" s="3" customFormat="1" x14ac:dyDescent="0.25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142</v>
      </c>
      <c r="B3" t="s">
        <v>143</v>
      </c>
      <c r="C3" t="s">
        <v>144</v>
      </c>
      <c r="D3" t="s">
        <v>27</v>
      </c>
    </row>
    <row r="4" spans="1:4" x14ac:dyDescent="0.25">
      <c r="A4" t="s">
        <v>212</v>
      </c>
      <c r="B4" t="s">
        <v>213</v>
      </c>
      <c r="C4" t="s">
        <v>22</v>
      </c>
      <c r="D4" t="s">
        <v>23</v>
      </c>
    </row>
    <row r="5" spans="1:4" x14ac:dyDescent="0.25">
      <c r="A5" t="s">
        <v>276</v>
      </c>
      <c r="B5" t="s">
        <v>277</v>
      </c>
      <c r="C5" t="s">
        <v>278</v>
      </c>
      <c r="D5" t="s">
        <v>27</v>
      </c>
    </row>
    <row r="6" spans="1:4" x14ac:dyDescent="0.25">
      <c r="A6" t="s">
        <v>341</v>
      </c>
      <c r="B6" t="s">
        <v>342</v>
      </c>
      <c r="C6" t="s">
        <v>343</v>
      </c>
      <c r="D6" t="s">
        <v>27</v>
      </c>
    </row>
    <row r="7" spans="1:4" x14ac:dyDescent="0.25">
      <c r="A7" t="s">
        <v>412</v>
      </c>
      <c r="B7" t="s">
        <v>413</v>
      </c>
      <c r="C7" t="s">
        <v>414</v>
      </c>
      <c r="D7" t="s">
        <v>27</v>
      </c>
    </row>
    <row r="8" spans="1:4" x14ac:dyDescent="0.25">
      <c r="A8" t="s">
        <v>475</v>
      </c>
      <c r="B8" t="s">
        <v>476</v>
      </c>
      <c r="C8" t="s">
        <v>477</v>
      </c>
      <c r="D8" t="s">
        <v>27</v>
      </c>
    </row>
    <row r="9" spans="1:4" x14ac:dyDescent="0.25">
      <c r="A9" t="s">
        <v>533</v>
      </c>
      <c r="B9" t="s">
        <v>534</v>
      </c>
      <c r="C9" t="s">
        <v>278</v>
      </c>
      <c r="D9" t="s">
        <v>23</v>
      </c>
    </row>
    <row r="10" spans="1:4" x14ac:dyDescent="0.25">
      <c r="A10" t="s">
        <v>603</v>
      </c>
      <c r="B10" t="s">
        <v>604</v>
      </c>
      <c r="C10" t="s">
        <v>22</v>
      </c>
      <c r="D10" t="s">
        <v>23</v>
      </c>
    </row>
    <row r="11" spans="1:4" x14ac:dyDescent="0.25">
      <c r="A11" t="s">
        <v>673</v>
      </c>
      <c r="B11" t="s">
        <v>674</v>
      </c>
      <c r="C11" t="s">
        <v>144</v>
      </c>
      <c r="D11" t="s">
        <v>23</v>
      </c>
    </row>
    <row r="12" spans="1:4" x14ac:dyDescent="0.25">
      <c r="A12" t="s">
        <v>749</v>
      </c>
      <c r="B12" t="s">
        <v>750</v>
      </c>
      <c r="C12" t="s">
        <v>343</v>
      </c>
      <c r="D12" t="s">
        <v>27</v>
      </c>
    </row>
    <row r="13" spans="1:4" x14ac:dyDescent="0.25">
      <c r="A13" t="s">
        <v>814</v>
      </c>
      <c r="B13" t="s">
        <v>815</v>
      </c>
      <c r="C13" t="s">
        <v>414</v>
      </c>
      <c r="D1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2C48-CD2D-41A8-9C8E-9EF7781C5460}">
  <dimension ref="A1:D785"/>
  <sheetViews>
    <sheetView workbookViewId="0">
      <selection activeCell="B15" sqref="B15"/>
    </sheetView>
  </sheetViews>
  <sheetFormatPr defaultRowHeight="15" x14ac:dyDescent="0.25"/>
  <cols>
    <col min="1" max="3" width="13.5703125" customWidth="1"/>
    <col min="4" max="4" width="13.5703125" style="2" customWidth="1"/>
  </cols>
  <sheetData>
    <row r="1" spans="1:4" s="3" customFormat="1" x14ac:dyDescent="0.25">
      <c r="A1" s="3" t="s">
        <v>8</v>
      </c>
      <c r="B1" s="3" t="s">
        <v>9</v>
      </c>
      <c r="C1" s="3" t="s">
        <v>10</v>
      </c>
      <c r="D1" s="4" t="s">
        <v>14</v>
      </c>
    </row>
    <row r="2" spans="1:4" x14ac:dyDescent="0.25">
      <c r="A2" t="s">
        <v>51</v>
      </c>
      <c r="B2" t="s">
        <v>52</v>
      </c>
      <c r="C2" t="s">
        <v>42</v>
      </c>
      <c r="D2" s="2">
        <v>150000</v>
      </c>
    </row>
    <row r="3" spans="1:4" x14ac:dyDescent="0.25">
      <c r="A3" t="s">
        <v>40</v>
      </c>
      <c r="B3" t="s">
        <v>41</v>
      </c>
      <c r="C3" t="s">
        <v>42</v>
      </c>
      <c r="D3" s="2">
        <v>85000</v>
      </c>
    </row>
    <row r="4" spans="1:4" x14ac:dyDescent="0.25">
      <c r="A4" t="s">
        <v>30</v>
      </c>
      <c r="B4" t="s">
        <v>31</v>
      </c>
      <c r="C4" t="s">
        <v>32</v>
      </c>
      <c r="D4" s="2">
        <v>60000</v>
      </c>
    </row>
    <row r="5" spans="1:4" x14ac:dyDescent="0.25">
      <c r="A5" t="s">
        <v>35</v>
      </c>
      <c r="B5" t="s">
        <v>36</v>
      </c>
      <c r="C5" t="s">
        <v>32</v>
      </c>
      <c r="D5" s="2">
        <v>45000</v>
      </c>
    </row>
    <row r="6" spans="1:4" x14ac:dyDescent="0.25">
      <c r="A6" t="s">
        <v>75</v>
      </c>
      <c r="B6" t="s">
        <v>76</v>
      </c>
      <c r="C6" t="s">
        <v>49</v>
      </c>
      <c r="D6" s="2">
        <v>120000</v>
      </c>
    </row>
    <row r="7" spans="1:4" x14ac:dyDescent="0.25">
      <c r="A7" t="s">
        <v>47</v>
      </c>
      <c r="B7" t="s">
        <v>48</v>
      </c>
      <c r="C7" t="s">
        <v>49</v>
      </c>
      <c r="D7" s="2">
        <v>200000</v>
      </c>
    </row>
    <row r="8" spans="1:4" x14ac:dyDescent="0.25">
      <c r="A8" t="s">
        <v>24</v>
      </c>
      <c r="B8" t="s">
        <v>25</v>
      </c>
      <c r="C8" t="s">
        <v>26</v>
      </c>
      <c r="D8" s="2">
        <v>75000</v>
      </c>
    </row>
    <row r="9" spans="1:4" x14ac:dyDescent="0.25">
      <c r="A9" t="s">
        <v>60</v>
      </c>
      <c r="B9" t="s">
        <v>61</v>
      </c>
      <c r="C9" t="s">
        <v>26</v>
      </c>
      <c r="D9" s="2">
        <v>95000</v>
      </c>
    </row>
    <row r="10" spans="1:4" x14ac:dyDescent="0.25">
      <c r="D10"/>
    </row>
    <row r="11" spans="1:4" x14ac:dyDescent="0.25">
      <c r="D11"/>
    </row>
    <row r="12" spans="1:4" x14ac:dyDescent="0.25">
      <c r="D12"/>
    </row>
    <row r="13" spans="1:4" x14ac:dyDescent="0.25">
      <c r="D13"/>
    </row>
    <row r="14" spans="1:4" x14ac:dyDescent="0.25">
      <c r="D14"/>
    </row>
    <row r="15" spans="1:4" x14ac:dyDescent="0.25">
      <c r="D15"/>
    </row>
    <row r="16" spans="1:4" x14ac:dyDescent="0.25">
      <c r="D16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  <row r="782" spans="4:4" x14ac:dyDescent="0.25">
      <c r="D782"/>
    </row>
    <row r="783" spans="4:4" x14ac:dyDescent="0.25">
      <c r="D783"/>
    </row>
    <row r="784" spans="4:4" x14ac:dyDescent="0.25">
      <c r="D784"/>
    </row>
    <row r="785" spans="4:4" x14ac:dyDescent="0.25">
      <c r="D785"/>
    </row>
  </sheetData>
  <autoFilter ref="A1:D1" xr:uid="{895F2C48-CD2D-41A8-9C8E-9EF7781C5460}">
    <sortState xmlns:xlrd2="http://schemas.microsoft.com/office/spreadsheetml/2017/richdata2" ref="A2:D9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6C01-5D40-49EB-9A60-149BB3AEDFDB}">
  <dimension ref="A1:B5"/>
  <sheetViews>
    <sheetView workbookViewId="0">
      <selection activeCell="B1" sqref="B1"/>
    </sheetView>
  </sheetViews>
  <sheetFormatPr defaultRowHeight="15" x14ac:dyDescent="0.25"/>
  <cols>
    <col min="1" max="1" width="14.7109375" customWidth="1"/>
    <col min="2" max="2" width="19.85546875" customWidth="1"/>
  </cols>
  <sheetData>
    <row r="1" spans="1:2" s="3" customFormat="1" x14ac:dyDescent="0.25">
      <c r="A1" s="3" t="s">
        <v>875</v>
      </c>
      <c r="B1" s="3" t="s">
        <v>876</v>
      </c>
    </row>
    <row r="2" spans="1:2" x14ac:dyDescent="0.25">
      <c r="A2" t="s">
        <v>877</v>
      </c>
      <c r="B2" t="s">
        <v>23</v>
      </c>
    </row>
    <row r="3" spans="1:2" x14ac:dyDescent="0.25">
      <c r="A3" t="s">
        <v>878</v>
      </c>
      <c r="B3" t="s">
        <v>27</v>
      </c>
    </row>
    <row r="4" spans="1:2" x14ac:dyDescent="0.25">
      <c r="A4" t="s">
        <v>879</v>
      </c>
      <c r="B4" t="s">
        <v>65</v>
      </c>
    </row>
    <row r="5" spans="1:2" x14ac:dyDescent="0.25">
      <c r="A5" t="s">
        <v>880</v>
      </c>
      <c r="B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F124-CDEB-4D68-85DA-088979D071FC}">
  <dimension ref="A1:J367"/>
  <sheetViews>
    <sheetView topLeftCell="C1" workbookViewId="0">
      <selection activeCell="F1" sqref="F1:F1048576"/>
    </sheetView>
  </sheetViews>
  <sheetFormatPr defaultColWidth="15.140625" defaultRowHeight="15" x14ac:dyDescent="0.25"/>
  <sheetData>
    <row r="1" spans="1:10" s="3" customFormat="1" x14ac:dyDescent="0.25">
      <c r="A1" s="3" t="s">
        <v>881</v>
      </c>
      <c r="B1" s="3" t="s">
        <v>882</v>
      </c>
      <c r="C1" s="3" t="s">
        <v>883</v>
      </c>
      <c r="D1" s="3" t="s">
        <v>884</v>
      </c>
      <c r="E1" s="3" t="s">
        <v>3</v>
      </c>
      <c r="F1" s="3" t="s">
        <v>885</v>
      </c>
      <c r="G1" s="3" t="s">
        <v>886</v>
      </c>
      <c r="H1" s="3" t="s">
        <v>887</v>
      </c>
      <c r="I1" s="3" t="s">
        <v>888</v>
      </c>
      <c r="J1" s="3" t="s">
        <v>889</v>
      </c>
    </row>
    <row r="2" spans="1:10" x14ac:dyDescent="0.25">
      <c r="A2" s="1">
        <v>45292</v>
      </c>
      <c r="B2">
        <f>DAY(A2)</f>
        <v>1</v>
      </c>
      <c r="C2">
        <f>MONTH(A2)</f>
        <v>1</v>
      </c>
      <c r="D2" t="str">
        <f>TEXT(A2,"MMM")</f>
        <v>Jan</v>
      </c>
      <c r="E2" t="str">
        <f>"Q"&amp;ROUNDUP(MONTH(A2)/3,0)</f>
        <v>Q1</v>
      </c>
      <c r="F2">
        <f>ROUNDUP(MONTH(A2)/3,0)</f>
        <v>1</v>
      </c>
      <c r="G2">
        <f>YEAR(A2)</f>
        <v>2024</v>
      </c>
      <c r="H2" t="str">
        <f>TEXT(A2,"YYYY-MMM")</f>
        <v>2024-Jan</v>
      </c>
      <c r="I2" t="str">
        <f>TEXT(A2,"DDD")</f>
        <v>Mon</v>
      </c>
      <c r="J2" t="str">
        <f>IF(WEEKDAY(A2,2)&gt;=6,"Weekend","Weekday")</f>
        <v>Weekday</v>
      </c>
    </row>
    <row r="3" spans="1:10" x14ac:dyDescent="0.25">
      <c r="A3" s="1">
        <f>A2+1</f>
        <v>45293</v>
      </c>
      <c r="B3">
        <f t="shared" ref="B3:B66" si="0">DAY(A3)</f>
        <v>2</v>
      </c>
      <c r="C3">
        <f t="shared" ref="C3:C66" si="1">MONTH(A3)</f>
        <v>1</v>
      </c>
      <c r="D3" t="str">
        <f t="shared" ref="D3:D66" si="2">TEXT(A3,"MMM")</f>
        <v>Jan</v>
      </c>
      <c r="E3" t="str">
        <f t="shared" ref="E3:E66" si="3">"Q"&amp;ROUNDUP(MONTH(A3)/3,0)</f>
        <v>Q1</v>
      </c>
      <c r="F3">
        <f t="shared" ref="F3:F66" si="4">ROUNDUP(MONTH(A3)/3,0)</f>
        <v>1</v>
      </c>
      <c r="G3">
        <f t="shared" ref="G3:G66" si="5">YEAR(A3)</f>
        <v>2024</v>
      </c>
      <c r="H3" t="str">
        <f t="shared" ref="H3:H66" si="6">TEXT(A3,"YYYY-MMM")</f>
        <v>2024-Jan</v>
      </c>
      <c r="I3" t="str">
        <f t="shared" ref="I3:I66" si="7">TEXT(A3,"DDD")</f>
        <v>Tue</v>
      </c>
      <c r="J3" t="str">
        <f t="shared" ref="J3:J66" si="8">IF(WEEKDAY(A3,2)&gt;=6,"Weekend","Weekday")</f>
        <v>Weekday</v>
      </c>
    </row>
    <row r="4" spans="1:10" x14ac:dyDescent="0.25">
      <c r="A4" s="1">
        <f t="shared" ref="A4:A67" si="9">A3+1</f>
        <v>45294</v>
      </c>
      <c r="B4">
        <f t="shared" si="0"/>
        <v>3</v>
      </c>
      <c r="C4">
        <f t="shared" si="1"/>
        <v>1</v>
      </c>
      <c r="D4" t="str">
        <f t="shared" si="2"/>
        <v>Jan</v>
      </c>
      <c r="E4" t="str">
        <f t="shared" si="3"/>
        <v>Q1</v>
      </c>
      <c r="F4">
        <f t="shared" si="4"/>
        <v>1</v>
      </c>
      <c r="G4">
        <f t="shared" si="5"/>
        <v>2024</v>
      </c>
      <c r="H4" t="str">
        <f t="shared" si="6"/>
        <v>2024-Jan</v>
      </c>
      <c r="I4" t="str">
        <f t="shared" si="7"/>
        <v>Wed</v>
      </c>
      <c r="J4" t="str">
        <f t="shared" si="8"/>
        <v>Weekday</v>
      </c>
    </row>
    <row r="5" spans="1:10" x14ac:dyDescent="0.25">
      <c r="A5" s="1">
        <f t="shared" si="9"/>
        <v>45295</v>
      </c>
      <c r="B5">
        <f t="shared" si="0"/>
        <v>4</v>
      </c>
      <c r="C5">
        <f t="shared" si="1"/>
        <v>1</v>
      </c>
      <c r="D5" t="str">
        <f t="shared" si="2"/>
        <v>Jan</v>
      </c>
      <c r="E5" t="str">
        <f t="shared" si="3"/>
        <v>Q1</v>
      </c>
      <c r="F5">
        <f t="shared" si="4"/>
        <v>1</v>
      </c>
      <c r="G5">
        <f t="shared" si="5"/>
        <v>2024</v>
      </c>
      <c r="H5" t="str">
        <f t="shared" si="6"/>
        <v>2024-Jan</v>
      </c>
      <c r="I5" t="str">
        <f t="shared" si="7"/>
        <v>Thu</v>
      </c>
      <c r="J5" t="str">
        <f t="shared" si="8"/>
        <v>Weekday</v>
      </c>
    </row>
    <row r="6" spans="1:10" x14ac:dyDescent="0.25">
      <c r="A6" s="1">
        <f t="shared" si="9"/>
        <v>45296</v>
      </c>
      <c r="B6">
        <f t="shared" si="0"/>
        <v>5</v>
      </c>
      <c r="C6">
        <f t="shared" si="1"/>
        <v>1</v>
      </c>
      <c r="D6" t="str">
        <f t="shared" si="2"/>
        <v>Jan</v>
      </c>
      <c r="E6" t="str">
        <f t="shared" si="3"/>
        <v>Q1</v>
      </c>
      <c r="F6">
        <f t="shared" si="4"/>
        <v>1</v>
      </c>
      <c r="G6">
        <f t="shared" si="5"/>
        <v>2024</v>
      </c>
      <c r="H6" t="str">
        <f t="shared" si="6"/>
        <v>2024-Jan</v>
      </c>
      <c r="I6" t="str">
        <f t="shared" si="7"/>
        <v>Fri</v>
      </c>
      <c r="J6" t="str">
        <f t="shared" si="8"/>
        <v>Weekday</v>
      </c>
    </row>
    <row r="7" spans="1:10" x14ac:dyDescent="0.25">
      <c r="A7" s="1">
        <f t="shared" si="9"/>
        <v>45297</v>
      </c>
      <c r="B7">
        <f t="shared" si="0"/>
        <v>6</v>
      </c>
      <c r="C7">
        <f t="shared" si="1"/>
        <v>1</v>
      </c>
      <c r="D7" t="str">
        <f t="shared" si="2"/>
        <v>Jan</v>
      </c>
      <c r="E7" t="str">
        <f t="shared" si="3"/>
        <v>Q1</v>
      </c>
      <c r="F7">
        <f t="shared" si="4"/>
        <v>1</v>
      </c>
      <c r="G7">
        <f t="shared" si="5"/>
        <v>2024</v>
      </c>
      <c r="H7" t="str">
        <f t="shared" si="6"/>
        <v>2024-Jan</v>
      </c>
      <c r="I7" t="str">
        <f t="shared" si="7"/>
        <v>Sat</v>
      </c>
      <c r="J7" t="str">
        <f t="shared" si="8"/>
        <v>Weekend</v>
      </c>
    </row>
    <row r="8" spans="1:10" x14ac:dyDescent="0.25">
      <c r="A8" s="1">
        <f t="shared" si="9"/>
        <v>45298</v>
      </c>
      <c r="B8">
        <f t="shared" si="0"/>
        <v>7</v>
      </c>
      <c r="C8">
        <f t="shared" si="1"/>
        <v>1</v>
      </c>
      <c r="D8" t="str">
        <f t="shared" si="2"/>
        <v>Jan</v>
      </c>
      <c r="E8" t="str">
        <f t="shared" si="3"/>
        <v>Q1</v>
      </c>
      <c r="F8">
        <f t="shared" si="4"/>
        <v>1</v>
      </c>
      <c r="G8">
        <f t="shared" si="5"/>
        <v>2024</v>
      </c>
      <c r="H8" t="str">
        <f t="shared" si="6"/>
        <v>2024-Jan</v>
      </c>
      <c r="I8" t="str">
        <f t="shared" si="7"/>
        <v>Sun</v>
      </c>
      <c r="J8" t="str">
        <f t="shared" si="8"/>
        <v>Weekend</v>
      </c>
    </row>
    <row r="9" spans="1:10" x14ac:dyDescent="0.25">
      <c r="A9" s="1">
        <f t="shared" si="9"/>
        <v>45299</v>
      </c>
      <c r="B9">
        <f t="shared" si="0"/>
        <v>8</v>
      </c>
      <c r="C9">
        <f t="shared" si="1"/>
        <v>1</v>
      </c>
      <c r="D9" t="str">
        <f t="shared" si="2"/>
        <v>Jan</v>
      </c>
      <c r="E9" t="str">
        <f t="shared" si="3"/>
        <v>Q1</v>
      </c>
      <c r="F9">
        <f t="shared" si="4"/>
        <v>1</v>
      </c>
      <c r="G9">
        <f t="shared" si="5"/>
        <v>2024</v>
      </c>
      <c r="H9" t="str">
        <f t="shared" si="6"/>
        <v>2024-Jan</v>
      </c>
      <c r="I9" t="str">
        <f t="shared" si="7"/>
        <v>Mon</v>
      </c>
      <c r="J9" t="str">
        <f t="shared" si="8"/>
        <v>Weekday</v>
      </c>
    </row>
    <row r="10" spans="1:10" x14ac:dyDescent="0.25">
      <c r="A10" s="1">
        <f t="shared" si="9"/>
        <v>45300</v>
      </c>
      <c r="B10">
        <f t="shared" si="0"/>
        <v>9</v>
      </c>
      <c r="C10">
        <f t="shared" si="1"/>
        <v>1</v>
      </c>
      <c r="D10" t="str">
        <f t="shared" si="2"/>
        <v>Jan</v>
      </c>
      <c r="E10" t="str">
        <f t="shared" si="3"/>
        <v>Q1</v>
      </c>
      <c r="F10">
        <f t="shared" si="4"/>
        <v>1</v>
      </c>
      <c r="G10">
        <f t="shared" si="5"/>
        <v>2024</v>
      </c>
      <c r="H10" t="str">
        <f t="shared" si="6"/>
        <v>2024-Jan</v>
      </c>
      <c r="I10" t="str">
        <f t="shared" si="7"/>
        <v>Tue</v>
      </c>
      <c r="J10" t="str">
        <f t="shared" si="8"/>
        <v>Weekday</v>
      </c>
    </row>
    <row r="11" spans="1:10" x14ac:dyDescent="0.25">
      <c r="A11" s="1">
        <f t="shared" si="9"/>
        <v>45301</v>
      </c>
      <c r="B11">
        <f t="shared" si="0"/>
        <v>10</v>
      </c>
      <c r="C11">
        <f t="shared" si="1"/>
        <v>1</v>
      </c>
      <c r="D11" t="str">
        <f t="shared" si="2"/>
        <v>Jan</v>
      </c>
      <c r="E11" t="str">
        <f t="shared" si="3"/>
        <v>Q1</v>
      </c>
      <c r="F11">
        <f t="shared" si="4"/>
        <v>1</v>
      </c>
      <c r="G11">
        <f t="shared" si="5"/>
        <v>2024</v>
      </c>
      <c r="H11" t="str">
        <f t="shared" si="6"/>
        <v>2024-Jan</v>
      </c>
      <c r="I11" t="str">
        <f t="shared" si="7"/>
        <v>Wed</v>
      </c>
      <c r="J11" t="str">
        <f t="shared" si="8"/>
        <v>Weekday</v>
      </c>
    </row>
    <row r="12" spans="1:10" x14ac:dyDescent="0.25">
      <c r="A12" s="1">
        <f t="shared" si="9"/>
        <v>45302</v>
      </c>
      <c r="B12">
        <f t="shared" si="0"/>
        <v>11</v>
      </c>
      <c r="C12">
        <f t="shared" si="1"/>
        <v>1</v>
      </c>
      <c r="D12" t="str">
        <f t="shared" si="2"/>
        <v>Jan</v>
      </c>
      <c r="E12" t="str">
        <f t="shared" si="3"/>
        <v>Q1</v>
      </c>
      <c r="F12">
        <f t="shared" si="4"/>
        <v>1</v>
      </c>
      <c r="G12">
        <f t="shared" si="5"/>
        <v>2024</v>
      </c>
      <c r="H12" t="str">
        <f t="shared" si="6"/>
        <v>2024-Jan</v>
      </c>
      <c r="I12" t="str">
        <f t="shared" si="7"/>
        <v>Thu</v>
      </c>
      <c r="J12" t="str">
        <f t="shared" si="8"/>
        <v>Weekday</v>
      </c>
    </row>
    <row r="13" spans="1:10" x14ac:dyDescent="0.25">
      <c r="A13" s="1">
        <f t="shared" si="9"/>
        <v>45303</v>
      </c>
      <c r="B13">
        <f t="shared" si="0"/>
        <v>12</v>
      </c>
      <c r="C13">
        <f t="shared" si="1"/>
        <v>1</v>
      </c>
      <c r="D13" t="str">
        <f t="shared" si="2"/>
        <v>Jan</v>
      </c>
      <c r="E13" t="str">
        <f t="shared" si="3"/>
        <v>Q1</v>
      </c>
      <c r="F13">
        <f t="shared" si="4"/>
        <v>1</v>
      </c>
      <c r="G13">
        <f t="shared" si="5"/>
        <v>2024</v>
      </c>
      <c r="H13" t="str">
        <f t="shared" si="6"/>
        <v>2024-Jan</v>
      </c>
      <c r="I13" t="str">
        <f t="shared" si="7"/>
        <v>Fri</v>
      </c>
      <c r="J13" t="str">
        <f t="shared" si="8"/>
        <v>Weekday</v>
      </c>
    </row>
    <row r="14" spans="1:10" x14ac:dyDescent="0.25">
      <c r="A14" s="1">
        <f t="shared" si="9"/>
        <v>45304</v>
      </c>
      <c r="B14">
        <f t="shared" si="0"/>
        <v>13</v>
      </c>
      <c r="C14">
        <f t="shared" si="1"/>
        <v>1</v>
      </c>
      <c r="D14" t="str">
        <f t="shared" si="2"/>
        <v>Jan</v>
      </c>
      <c r="E14" t="str">
        <f t="shared" si="3"/>
        <v>Q1</v>
      </c>
      <c r="F14">
        <f t="shared" si="4"/>
        <v>1</v>
      </c>
      <c r="G14">
        <f t="shared" si="5"/>
        <v>2024</v>
      </c>
      <c r="H14" t="str">
        <f t="shared" si="6"/>
        <v>2024-Jan</v>
      </c>
      <c r="I14" t="str">
        <f t="shared" si="7"/>
        <v>Sat</v>
      </c>
      <c r="J14" t="str">
        <f t="shared" si="8"/>
        <v>Weekend</v>
      </c>
    </row>
    <row r="15" spans="1:10" x14ac:dyDescent="0.25">
      <c r="A15" s="1">
        <f t="shared" si="9"/>
        <v>45305</v>
      </c>
      <c r="B15">
        <f t="shared" si="0"/>
        <v>14</v>
      </c>
      <c r="C15">
        <f t="shared" si="1"/>
        <v>1</v>
      </c>
      <c r="D15" t="str">
        <f t="shared" si="2"/>
        <v>Jan</v>
      </c>
      <c r="E15" t="str">
        <f t="shared" si="3"/>
        <v>Q1</v>
      </c>
      <c r="F15">
        <f t="shared" si="4"/>
        <v>1</v>
      </c>
      <c r="G15">
        <f t="shared" si="5"/>
        <v>2024</v>
      </c>
      <c r="H15" t="str">
        <f t="shared" si="6"/>
        <v>2024-Jan</v>
      </c>
      <c r="I15" t="str">
        <f t="shared" si="7"/>
        <v>Sun</v>
      </c>
      <c r="J15" t="str">
        <f t="shared" si="8"/>
        <v>Weekend</v>
      </c>
    </row>
    <row r="16" spans="1:10" x14ac:dyDescent="0.25">
      <c r="A16" s="1">
        <f t="shared" si="9"/>
        <v>45306</v>
      </c>
      <c r="B16">
        <f t="shared" si="0"/>
        <v>15</v>
      </c>
      <c r="C16">
        <f t="shared" si="1"/>
        <v>1</v>
      </c>
      <c r="D16" t="str">
        <f t="shared" si="2"/>
        <v>Jan</v>
      </c>
      <c r="E16" t="str">
        <f t="shared" si="3"/>
        <v>Q1</v>
      </c>
      <c r="F16">
        <f t="shared" si="4"/>
        <v>1</v>
      </c>
      <c r="G16">
        <f t="shared" si="5"/>
        <v>2024</v>
      </c>
      <c r="H16" t="str">
        <f t="shared" si="6"/>
        <v>2024-Jan</v>
      </c>
      <c r="I16" t="str">
        <f t="shared" si="7"/>
        <v>Mon</v>
      </c>
      <c r="J16" t="str">
        <f t="shared" si="8"/>
        <v>Weekday</v>
      </c>
    </row>
    <row r="17" spans="1:10" x14ac:dyDescent="0.25">
      <c r="A17" s="1">
        <f t="shared" si="9"/>
        <v>45307</v>
      </c>
      <c r="B17">
        <f t="shared" si="0"/>
        <v>16</v>
      </c>
      <c r="C17">
        <f t="shared" si="1"/>
        <v>1</v>
      </c>
      <c r="D17" t="str">
        <f t="shared" si="2"/>
        <v>Jan</v>
      </c>
      <c r="E17" t="str">
        <f t="shared" si="3"/>
        <v>Q1</v>
      </c>
      <c r="F17">
        <f t="shared" si="4"/>
        <v>1</v>
      </c>
      <c r="G17">
        <f t="shared" si="5"/>
        <v>2024</v>
      </c>
      <c r="H17" t="str">
        <f t="shared" si="6"/>
        <v>2024-Jan</v>
      </c>
      <c r="I17" t="str">
        <f t="shared" si="7"/>
        <v>Tue</v>
      </c>
      <c r="J17" t="str">
        <f t="shared" si="8"/>
        <v>Weekday</v>
      </c>
    </row>
    <row r="18" spans="1:10" x14ac:dyDescent="0.25">
      <c r="A18" s="1">
        <f t="shared" si="9"/>
        <v>45308</v>
      </c>
      <c r="B18">
        <f t="shared" si="0"/>
        <v>17</v>
      </c>
      <c r="C18">
        <f t="shared" si="1"/>
        <v>1</v>
      </c>
      <c r="D18" t="str">
        <f t="shared" si="2"/>
        <v>Jan</v>
      </c>
      <c r="E18" t="str">
        <f t="shared" si="3"/>
        <v>Q1</v>
      </c>
      <c r="F18">
        <f t="shared" si="4"/>
        <v>1</v>
      </c>
      <c r="G18">
        <f t="shared" si="5"/>
        <v>2024</v>
      </c>
      <c r="H18" t="str">
        <f t="shared" si="6"/>
        <v>2024-Jan</v>
      </c>
      <c r="I18" t="str">
        <f t="shared" si="7"/>
        <v>Wed</v>
      </c>
      <c r="J18" t="str">
        <f t="shared" si="8"/>
        <v>Weekday</v>
      </c>
    </row>
    <row r="19" spans="1:10" x14ac:dyDescent="0.25">
      <c r="A19" s="1">
        <f t="shared" si="9"/>
        <v>45309</v>
      </c>
      <c r="B19">
        <f t="shared" si="0"/>
        <v>18</v>
      </c>
      <c r="C19">
        <f t="shared" si="1"/>
        <v>1</v>
      </c>
      <c r="D19" t="str">
        <f t="shared" si="2"/>
        <v>Jan</v>
      </c>
      <c r="E19" t="str">
        <f t="shared" si="3"/>
        <v>Q1</v>
      </c>
      <c r="F19">
        <f t="shared" si="4"/>
        <v>1</v>
      </c>
      <c r="G19">
        <f t="shared" si="5"/>
        <v>2024</v>
      </c>
      <c r="H19" t="str">
        <f t="shared" si="6"/>
        <v>2024-Jan</v>
      </c>
      <c r="I19" t="str">
        <f t="shared" si="7"/>
        <v>Thu</v>
      </c>
      <c r="J19" t="str">
        <f t="shared" si="8"/>
        <v>Weekday</v>
      </c>
    </row>
    <row r="20" spans="1:10" x14ac:dyDescent="0.25">
      <c r="A20" s="1">
        <f t="shared" si="9"/>
        <v>45310</v>
      </c>
      <c r="B20">
        <f t="shared" si="0"/>
        <v>19</v>
      </c>
      <c r="C20">
        <f t="shared" si="1"/>
        <v>1</v>
      </c>
      <c r="D20" t="str">
        <f t="shared" si="2"/>
        <v>Jan</v>
      </c>
      <c r="E20" t="str">
        <f t="shared" si="3"/>
        <v>Q1</v>
      </c>
      <c r="F20">
        <f t="shared" si="4"/>
        <v>1</v>
      </c>
      <c r="G20">
        <f t="shared" si="5"/>
        <v>2024</v>
      </c>
      <c r="H20" t="str">
        <f t="shared" si="6"/>
        <v>2024-Jan</v>
      </c>
      <c r="I20" t="str">
        <f t="shared" si="7"/>
        <v>Fri</v>
      </c>
      <c r="J20" t="str">
        <f t="shared" si="8"/>
        <v>Weekday</v>
      </c>
    </row>
    <row r="21" spans="1:10" x14ac:dyDescent="0.25">
      <c r="A21" s="1">
        <f t="shared" si="9"/>
        <v>45311</v>
      </c>
      <c r="B21">
        <f t="shared" si="0"/>
        <v>20</v>
      </c>
      <c r="C21">
        <f t="shared" si="1"/>
        <v>1</v>
      </c>
      <c r="D21" t="str">
        <f t="shared" si="2"/>
        <v>Jan</v>
      </c>
      <c r="E21" t="str">
        <f t="shared" si="3"/>
        <v>Q1</v>
      </c>
      <c r="F21">
        <f t="shared" si="4"/>
        <v>1</v>
      </c>
      <c r="G21">
        <f t="shared" si="5"/>
        <v>2024</v>
      </c>
      <c r="H21" t="str">
        <f t="shared" si="6"/>
        <v>2024-Jan</v>
      </c>
      <c r="I21" t="str">
        <f t="shared" si="7"/>
        <v>Sat</v>
      </c>
      <c r="J21" t="str">
        <f t="shared" si="8"/>
        <v>Weekend</v>
      </c>
    </row>
    <row r="22" spans="1:10" x14ac:dyDescent="0.25">
      <c r="A22" s="1">
        <f t="shared" si="9"/>
        <v>45312</v>
      </c>
      <c r="B22">
        <f t="shared" si="0"/>
        <v>21</v>
      </c>
      <c r="C22">
        <f t="shared" si="1"/>
        <v>1</v>
      </c>
      <c r="D22" t="str">
        <f t="shared" si="2"/>
        <v>Jan</v>
      </c>
      <c r="E22" t="str">
        <f t="shared" si="3"/>
        <v>Q1</v>
      </c>
      <c r="F22">
        <f t="shared" si="4"/>
        <v>1</v>
      </c>
      <c r="G22">
        <f t="shared" si="5"/>
        <v>2024</v>
      </c>
      <c r="H22" t="str">
        <f t="shared" si="6"/>
        <v>2024-Jan</v>
      </c>
      <c r="I22" t="str">
        <f t="shared" si="7"/>
        <v>Sun</v>
      </c>
      <c r="J22" t="str">
        <f t="shared" si="8"/>
        <v>Weekend</v>
      </c>
    </row>
    <row r="23" spans="1:10" x14ac:dyDescent="0.25">
      <c r="A23" s="1">
        <f t="shared" si="9"/>
        <v>45313</v>
      </c>
      <c r="B23">
        <f t="shared" si="0"/>
        <v>22</v>
      </c>
      <c r="C23">
        <f t="shared" si="1"/>
        <v>1</v>
      </c>
      <c r="D23" t="str">
        <f t="shared" si="2"/>
        <v>Jan</v>
      </c>
      <c r="E23" t="str">
        <f t="shared" si="3"/>
        <v>Q1</v>
      </c>
      <c r="F23">
        <f t="shared" si="4"/>
        <v>1</v>
      </c>
      <c r="G23">
        <f t="shared" si="5"/>
        <v>2024</v>
      </c>
      <c r="H23" t="str">
        <f t="shared" si="6"/>
        <v>2024-Jan</v>
      </c>
      <c r="I23" t="str">
        <f t="shared" si="7"/>
        <v>Mon</v>
      </c>
      <c r="J23" t="str">
        <f t="shared" si="8"/>
        <v>Weekday</v>
      </c>
    </row>
    <row r="24" spans="1:10" x14ac:dyDescent="0.25">
      <c r="A24" s="1">
        <f t="shared" si="9"/>
        <v>45314</v>
      </c>
      <c r="B24">
        <f t="shared" si="0"/>
        <v>23</v>
      </c>
      <c r="C24">
        <f t="shared" si="1"/>
        <v>1</v>
      </c>
      <c r="D24" t="str">
        <f t="shared" si="2"/>
        <v>Jan</v>
      </c>
      <c r="E24" t="str">
        <f t="shared" si="3"/>
        <v>Q1</v>
      </c>
      <c r="F24">
        <f t="shared" si="4"/>
        <v>1</v>
      </c>
      <c r="G24">
        <f t="shared" si="5"/>
        <v>2024</v>
      </c>
      <c r="H24" t="str">
        <f t="shared" si="6"/>
        <v>2024-Jan</v>
      </c>
      <c r="I24" t="str">
        <f t="shared" si="7"/>
        <v>Tue</v>
      </c>
      <c r="J24" t="str">
        <f t="shared" si="8"/>
        <v>Weekday</v>
      </c>
    </row>
    <row r="25" spans="1:10" x14ac:dyDescent="0.25">
      <c r="A25" s="1">
        <f t="shared" si="9"/>
        <v>45315</v>
      </c>
      <c r="B25">
        <f t="shared" si="0"/>
        <v>24</v>
      </c>
      <c r="C25">
        <f t="shared" si="1"/>
        <v>1</v>
      </c>
      <c r="D25" t="str">
        <f t="shared" si="2"/>
        <v>Jan</v>
      </c>
      <c r="E25" t="str">
        <f t="shared" si="3"/>
        <v>Q1</v>
      </c>
      <c r="F25">
        <f t="shared" si="4"/>
        <v>1</v>
      </c>
      <c r="G25">
        <f t="shared" si="5"/>
        <v>2024</v>
      </c>
      <c r="H25" t="str">
        <f t="shared" si="6"/>
        <v>2024-Jan</v>
      </c>
      <c r="I25" t="str">
        <f t="shared" si="7"/>
        <v>Wed</v>
      </c>
      <c r="J25" t="str">
        <f t="shared" si="8"/>
        <v>Weekday</v>
      </c>
    </row>
    <row r="26" spans="1:10" x14ac:dyDescent="0.25">
      <c r="A26" s="1">
        <f t="shared" si="9"/>
        <v>45316</v>
      </c>
      <c r="B26">
        <f t="shared" si="0"/>
        <v>25</v>
      </c>
      <c r="C26">
        <f t="shared" si="1"/>
        <v>1</v>
      </c>
      <c r="D26" t="str">
        <f t="shared" si="2"/>
        <v>Jan</v>
      </c>
      <c r="E26" t="str">
        <f t="shared" si="3"/>
        <v>Q1</v>
      </c>
      <c r="F26">
        <f t="shared" si="4"/>
        <v>1</v>
      </c>
      <c r="G26">
        <f t="shared" si="5"/>
        <v>2024</v>
      </c>
      <c r="H26" t="str">
        <f t="shared" si="6"/>
        <v>2024-Jan</v>
      </c>
      <c r="I26" t="str">
        <f t="shared" si="7"/>
        <v>Thu</v>
      </c>
      <c r="J26" t="str">
        <f t="shared" si="8"/>
        <v>Weekday</v>
      </c>
    </row>
    <row r="27" spans="1:10" x14ac:dyDescent="0.25">
      <c r="A27" s="1">
        <f t="shared" si="9"/>
        <v>45317</v>
      </c>
      <c r="B27">
        <f t="shared" si="0"/>
        <v>26</v>
      </c>
      <c r="C27">
        <f t="shared" si="1"/>
        <v>1</v>
      </c>
      <c r="D27" t="str">
        <f t="shared" si="2"/>
        <v>Jan</v>
      </c>
      <c r="E27" t="str">
        <f t="shared" si="3"/>
        <v>Q1</v>
      </c>
      <c r="F27">
        <f t="shared" si="4"/>
        <v>1</v>
      </c>
      <c r="G27">
        <f t="shared" si="5"/>
        <v>2024</v>
      </c>
      <c r="H27" t="str">
        <f t="shared" si="6"/>
        <v>2024-Jan</v>
      </c>
      <c r="I27" t="str">
        <f t="shared" si="7"/>
        <v>Fri</v>
      </c>
      <c r="J27" t="str">
        <f t="shared" si="8"/>
        <v>Weekday</v>
      </c>
    </row>
    <row r="28" spans="1:10" x14ac:dyDescent="0.25">
      <c r="A28" s="1">
        <f t="shared" si="9"/>
        <v>45318</v>
      </c>
      <c r="B28">
        <f t="shared" si="0"/>
        <v>27</v>
      </c>
      <c r="C28">
        <f t="shared" si="1"/>
        <v>1</v>
      </c>
      <c r="D28" t="str">
        <f t="shared" si="2"/>
        <v>Jan</v>
      </c>
      <c r="E28" t="str">
        <f t="shared" si="3"/>
        <v>Q1</v>
      </c>
      <c r="F28">
        <f t="shared" si="4"/>
        <v>1</v>
      </c>
      <c r="G28">
        <f t="shared" si="5"/>
        <v>2024</v>
      </c>
      <c r="H28" t="str">
        <f t="shared" si="6"/>
        <v>2024-Jan</v>
      </c>
      <c r="I28" t="str">
        <f t="shared" si="7"/>
        <v>Sat</v>
      </c>
      <c r="J28" t="str">
        <f t="shared" si="8"/>
        <v>Weekend</v>
      </c>
    </row>
    <row r="29" spans="1:10" x14ac:dyDescent="0.25">
      <c r="A29" s="1">
        <f t="shared" si="9"/>
        <v>45319</v>
      </c>
      <c r="B29">
        <f t="shared" si="0"/>
        <v>28</v>
      </c>
      <c r="C29">
        <f t="shared" si="1"/>
        <v>1</v>
      </c>
      <c r="D29" t="str">
        <f t="shared" si="2"/>
        <v>Jan</v>
      </c>
      <c r="E29" t="str">
        <f t="shared" si="3"/>
        <v>Q1</v>
      </c>
      <c r="F29">
        <f t="shared" si="4"/>
        <v>1</v>
      </c>
      <c r="G29">
        <f t="shared" si="5"/>
        <v>2024</v>
      </c>
      <c r="H29" t="str">
        <f t="shared" si="6"/>
        <v>2024-Jan</v>
      </c>
      <c r="I29" t="str">
        <f t="shared" si="7"/>
        <v>Sun</v>
      </c>
      <c r="J29" t="str">
        <f t="shared" si="8"/>
        <v>Weekend</v>
      </c>
    </row>
    <row r="30" spans="1:10" x14ac:dyDescent="0.25">
      <c r="A30" s="1">
        <f t="shared" si="9"/>
        <v>45320</v>
      </c>
      <c r="B30">
        <f t="shared" si="0"/>
        <v>29</v>
      </c>
      <c r="C30">
        <f t="shared" si="1"/>
        <v>1</v>
      </c>
      <c r="D30" t="str">
        <f t="shared" si="2"/>
        <v>Jan</v>
      </c>
      <c r="E30" t="str">
        <f t="shared" si="3"/>
        <v>Q1</v>
      </c>
      <c r="F30">
        <f t="shared" si="4"/>
        <v>1</v>
      </c>
      <c r="G30">
        <f t="shared" si="5"/>
        <v>2024</v>
      </c>
      <c r="H30" t="str">
        <f t="shared" si="6"/>
        <v>2024-Jan</v>
      </c>
      <c r="I30" t="str">
        <f t="shared" si="7"/>
        <v>Mon</v>
      </c>
      <c r="J30" t="str">
        <f t="shared" si="8"/>
        <v>Weekday</v>
      </c>
    </row>
    <row r="31" spans="1:10" x14ac:dyDescent="0.25">
      <c r="A31" s="1">
        <f t="shared" si="9"/>
        <v>45321</v>
      </c>
      <c r="B31">
        <f t="shared" si="0"/>
        <v>30</v>
      </c>
      <c r="C31">
        <f t="shared" si="1"/>
        <v>1</v>
      </c>
      <c r="D31" t="str">
        <f t="shared" si="2"/>
        <v>Jan</v>
      </c>
      <c r="E31" t="str">
        <f t="shared" si="3"/>
        <v>Q1</v>
      </c>
      <c r="F31">
        <f t="shared" si="4"/>
        <v>1</v>
      </c>
      <c r="G31">
        <f t="shared" si="5"/>
        <v>2024</v>
      </c>
      <c r="H31" t="str">
        <f t="shared" si="6"/>
        <v>2024-Jan</v>
      </c>
      <c r="I31" t="str">
        <f t="shared" si="7"/>
        <v>Tue</v>
      </c>
      <c r="J31" t="str">
        <f t="shared" si="8"/>
        <v>Weekday</v>
      </c>
    </row>
    <row r="32" spans="1:10" x14ac:dyDescent="0.25">
      <c r="A32" s="1">
        <f t="shared" si="9"/>
        <v>45322</v>
      </c>
      <c r="B32">
        <f t="shared" si="0"/>
        <v>31</v>
      </c>
      <c r="C32">
        <f t="shared" si="1"/>
        <v>1</v>
      </c>
      <c r="D32" t="str">
        <f t="shared" si="2"/>
        <v>Jan</v>
      </c>
      <c r="E32" t="str">
        <f t="shared" si="3"/>
        <v>Q1</v>
      </c>
      <c r="F32">
        <f t="shared" si="4"/>
        <v>1</v>
      </c>
      <c r="G32">
        <f t="shared" si="5"/>
        <v>2024</v>
      </c>
      <c r="H32" t="str">
        <f t="shared" si="6"/>
        <v>2024-Jan</v>
      </c>
      <c r="I32" t="str">
        <f t="shared" si="7"/>
        <v>Wed</v>
      </c>
      <c r="J32" t="str">
        <f t="shared" si="8"/>
        <v>Weekday</v>
      </c>
    </row>
    <row r="33" spans="1:10" x14ac:dyDescent="0.25">
      <c r="A33" s="1">
        <f t="shared" si="9"/>
        <v>45323</v>
      </c>
      <c r="B33">
        <f t="shared" si="0"/>
        <v>1</v>
      </c>
      <c r="C33">
        <f t="shared" si="1"/>
        <v>2</v>
      </c>
      <c r="D33" t="str">
        <f t="shared" si="2"/>
        <v>Feb</v>
      </c>
      <c r="E33" t="str">
        <f t="shared" si="3"/>
        <v>Q1</v>
      </c>
      <c r="F33">
        <f t="shared" si="4"/>
        <v>1</v>
      </c>
      <c r="G33">
        <f t="shared" si="5"/>
        <v>2024</v>
      </c>
      <c r="H33" t="str">
        <f t="shared" si="6"/>
        <v>2024-Feb</v>
      </c>
      <c r="I33" t="str">
        <f t="shared" si="7"/>
        <v>Thu</v>
      </c>
      <c r="J33" t="str">
        <f t="shared" si="8"/>
        <v>Weekday</v>
      </c>
    </row>
    <row r="34" spans="1:10" x14ac:dyDescent="0.25">
      <c r="A34" s="1">
        <f t="shared" si="9"/>
        <v>45324</v>
      </c>
      <c r="B34">
        <f t="shared" si="0"/>
        <v>2</v>
      </c>
      <c r="C34">
        <f t="shared" si="1"/>
        <v>2</v>
      </c>
      <c r="D34" t="str">
        <f t="shared" si="2"/>
        <v>Feb</v>
      </c>
      <c r="E34" t="str">
        <f t="shared" si="3"/>
        <v>Q1</v>
      </c>
      <c r="F34">
        <f t="shared" si="4"/>
        <v>1</v>
      </c>
      <c r="G34">
        <f t="shared" si="5"/>
        <v>2024</v>
      </c>
      <c r="H34" t="str">
        <f t="shared" si="6"/>
        <v>2024-Feb</v>
      </c>
      <c r="I34" t="str">
        <f t="shared" si="7"/>
        <v>Fri</v>
      </c>
      <c r="J34" t="str">
        <f t="shared" si="8"/>
        <v>Weekday</v>
      </c>
    </row>
    <row r="35" spans="1:10" x14ac:dyDescent="0.25">
      <c r="A35" s="1">
        <f t="shared" si="9"/>
        <v>45325</v>
      </c>
      <c r="B35">
        <f t="shared" si="0"/>
        <v>3</v>
      </c>
      <c r="C35">
        <f t="shared" si="1"/>
        <v>2</v>
      </c>
      <c r="D35" t="str">
        <f t="shared" si="2"/>
        <v>Feb</v>
      </c>
      <c r="E35" t="str">
        <f t="shared" si="3"/>
        <v>Q1</v>
      </c>
      <c r="F35">
        <f t="shared" si="4"/>
        <v>1</v>
      </c>
      <c r="G35">
        <f t="shared" si="5"/>
        <v>2024</v>
      </c>
      <c r="H35" t="str">
        <f t="shared" si="6"/>
        <v>2024-Feb</v>
      </c>
      <c r="I35" t="str">
        <f t="shared" si="7"/>
        <v>Sat</v>
      </c>
      <c r="J35" t="str">
        <f t="shared" si="8"/>
        <v>Weekend</v>
      </c>
    </row>
    <row r="36" spans="1:10" x14ac:dyDescent="0.25">
      <c r="A36" s="1">
        <f t="shared" si="9"/>
        <v>45326</v>
      </c>
      <c r="B36">
        <f t="shared" si="0"/>
        <v>4</v>
      </c>
      <c r="C36">
        <f t="shared" si="1"/>
        <v>2</v>
      </c>
      <c r="D36" t="str">
        <f t="shared" si="2"/>
        <v>Feb</v>
      </c>
      <c r="E36" t="str">
        <f t="shared" si="3"/>
        <v>Q1</v>
      </c>
      <c r="F36">
        <f t="shared" si="4"/>
        <v>1</v>
      </c>
      <c r="G36">
        <f t="shared" si="5"/>
        <v>2024</v>
      </c>
      <c r="H36" t="str">
        <f t="shared" si="6"/>
        <v>2024-Feb</v>
      </c>
      <c r="I36" t="str">
        <f t="shared" si="7"/>
        <v>Sun</v>
      </c>
      <c r="J36" t="str">
        <f t="shared" si="8"/>
        <v>Weekend</v>
      </c>
    </row>
    <row r="37" spans="1:10" x14ac:dyDescent="0.25">
      <c r="A37" s="1">
        <f t="shared" si="9"/>
        <v>45327</v>
      </c>
      <c r="B37">
        <f t="shared" si="0"/>
        <v>5</v>
      </c>
      <c r="C37">
        <f t="shared" si="1"/>
        <v>2</v>
      </c>
      <c r="D37" t="str">
        <f t="shared" si="2"/>
        <v>Feb</v>
      </c>
      <c r="E37" t="str">
        <f t="shared" si="3"/>
        <v>Q1</v>
      </c>
      <c r="F37">
        <f t="shared" si="4"/>
        <v>1</v>
      </c>
      <c r="G37">
        <f t="shared" si="5"/>
        <v>2024</v>
      </c>
      <c r="H37" t="str">
        <f t="shared" si="6"/>
        <v>2024-Feb</v>
      </c>
      <c r="I37" t="str">
        <f t="shared" si="7"/>
        <v>Mon</v>
      </c>
      <c r="J37" t="str">
        <f t="shared" si="8"/>
        <v>Weekday</v>
      </c>
    </row>
    <row r="38" spans="1:10" x14ac:dyDescent="0.25">
      <c r="A38" s="1">
        <f t="shared" si="9"/>
        <v>45328</v>
      </c>
      <c r="B38">
        <f t="shared" si="0"/>
        <v>6</v>
      </c>
      <c r="C38">
        <f t="shared" si="1"/>
        <v>2</v>
      </c>
      <c r="D38" t="str">
        <f t="shared" si="2"/>
        <v>Feb</v>
      </c>
      <c r="E38" t="str">
        <f t="shared" si="3"/>
        <v>Q1</v>
      </c>
      <c r="F38">
        <f t="shared" si="4"/>
        <v>1</v>
      </c>
      <c r="G38">
        <f t="shared" si="5"/>
        <v>2024</v>
      </c>
      <c r="H38" t="str">
        <f t="shared" si="6"/>
        <v>2024-Feb</v>
      </c>
      <c r="I38" t="str">
        <f t="shared" si="7"/>
        <v>Tue</v>
      </c>
      <c r="J38" t="str">
        <f t="shared" si="8"/>
        <v>Weekday</v>
      </c>
    </row>
    <row r="39" spans="1:10" x14ac:dyDescent="0.25">
      <c r="A39" s="1">
        <f t="shared" si="9"/>
        <v>45329</v>
      </c>
      <c r="B39">
        <f t="shared" si="0"/>
        <v>7</v>
      </c>
      <c r="C39">
        <f t="shared" si="1"/>
        <v>2</v>
      </c>
      <c r="D39" t="str">
        <f t="shared" si="2"/>
        <v>Feb</v>
      </c>
      <c r="E39" t="str">
        <f t="shared" si="3"/>
        <v>Q1</v>
      </c>
      <c r="F39">
        <f t="shared" si="4"/>
        <v>1</v>
      </c>
      <c r="G39">
        <f t="shared" si="5"/>
        <v>2024</v>
      </c>
      <c r="H39" t="str">
        <f t="shared" si="6"/>
        <v>2024-Feb</v>
      </c>
      <c r="I39" t="str">
        <f t="shared" si="7"/>
        <v>Wed</v>
      </c>
      <c r="J39" t="str">
        <f t="shared" si="8"/>
        <v>Weekday</v>
      </c>
    </row>
    <row r="40" spans="1:10" x14ac:dyDescent="0.25">
      <c r="A40" s="1">
        <f t="shared" si="9"/>
        <v>45330</v>
      </c>
      <c r="B40">
        <f t="shared" si="0"/>
        <v>8</v>
      </c>
      <c r="C40">
        <f t="shared" si="1"/>
        <v>2</v>
      </c>
      <c r="D40" t="str">
        <f t="shared" si="2"/>
        <v>Feb</v>
      </c>
      <c r="E40" t="str">
        <f t="shared" si="3"/>
        <v>Q1</v>
      </c>
      <c r="F40">
        <f t="shared" si="4"/>
        <v>1</v>
      </c>
      <c r="G40">
        <f t="shared" si="5"/>
        <v>2024</v>
      </c>
      <c r="H40" t="str">
        <f t="shared" si="6"/>
        <v>2024-Feb</v>
      </c>
      <c r="I40" t="str">
        <f t="shared" si="7"/>
        <v>Thu</v>
      </c>
      <c r="J40" t="str">
        <f t="shared" si="8"/>
        <v>Weekday</v>
      </c>
    </row>
    <row r="41" spans="1:10" x14ac:dyDescent="0.25">
      <c r="A41" s="1">
        <f t="shared" si="9"/>
        <v>45331</v>
      </c>
      <c r="B41">
        <f t="shared" si="0"/>
        <v>9</v>
      </c>
      <c r="C41">
        <f t="shared" si="1"/>
        <v>2</v>
      </c>
      <c r="D41" t="str">
        <f t="shared" si="2"/>
        <v>Feb</v>
      </c>
      <c r="E41" t="str">
        <f t="shared" si="3"/>
        <v>Q1</v>
      </c>
      <c r="F41">
        <f t="shared" si="4"/>
        <v>1</v>
      </c>
      <c r="G41">
        <f t="shared" si="5"/>
        <v>2024</v>
      </c>
      <c r="H41" t="str">
        <f t="shared" si="6"/>
        <v>2024-Feb</v>
      </c>
      <c r="I41" t="str">
        <f t="shared" si="7"/>
        <v>Fri</v>
      </c>
      <c r="J41" t="str">
        <f t="shared" si="8"/>
        <v>Weekday</v>
      </c>
    </row>
    <row r="42" spans="1:10" x14ac:dyDescent="0.25">
      <c r="A42" s="1">
        <f t="shared" si="9"/>
        <v>45332</v>
      </c>
      <c r="B42">
        <f t="shared" si="0"/>
        <v>10</v>
      </c>
      <c r="C42">
        <f t="shared" si="1"/>
        <v>2</v>
      </c>
      <c r="D42" t="str">
        <f t="shared" si="2"/>
        <v>Feb</v>
      </c>
      <c r="E42" t="str">
        <f t="shared" si="3"/>
        <v>Q1</v>
      </c>
      <c r="F42">
        <f t="shared" si="4"/>
        <v>1</v>
      </c>
      <c r="G42">
        <f t="shared" si="5"/>
        <v>2024</v>
      </c>
      <c r="H42" t="str">
        <f t="shared" si="6"/>
        <v>2024-Feb</v>
      </c>
      <c r="I42" t="str">
        <f t="shared" si="7"/>
        <v>Sat</v>
      </c>
      <c r="J42" t="str">
        <f t="shared" si="8"/>
        <v>Weekend</v>
      </c>
    </row>
    <row r="43" spans="1:10" x14ac:dyDescent="0.25">
      <c r="A43" s="1">
        <f t="shared" si="9"/>
        <v>45333</v>
      </c>
      <c r="B43">
        <f t="shared" si="0"/>
        <v>11</v>
      </c>
      <c r="C43">
        <f t="shared" si="1"/>
        <v>2</v>
      </c>
      <c r="D43" t="str">
        <f t="shared" si="2"/>
        <v>Feb</v>
      </c>
      <c r="E43" t="str">
        <f t="shared" si="3"/>
        <v>Q1</v>
      </c>
      <c r="F43">
        <f t="shared" si="4"/>
        <v>1</v>
      </c>
      <c r="G43">
        <f t="shared" si="5"/>
        <v>2024</v>
      </c>
      <c r="H43" t="str">
        <f t="shared" si="6"/>
        <v>2024-Feb</v>
      </c>
      <c r="I43" t="str">
        <f t="shared" si="7"/>
        <v>Sun</v>
      </c>
      <c r="J43" t="str">
        <f t="shared" si="8"/>
        <v>Weekend</v>
      </c>
    </row>
    <row r="44" spans="1:10" x14ac:dyDescent="0.25">
      <c r="A44" s="1">
        <f t="shared" si="9"/>
        <v>45334</v>
      </c>
      <c r="B44">
        <f t="shared" si="0"/>
        <v>12</v>
      </c>
      <c r="C44">
        <f t="shared" si="1"/>
        <v>2</v>
      </c>
      <c r="D44" t="str">
        <f t="shared" si="2"/>
        <v>Feb</v>
      </c>
      <c r="E44" t="str">
        <f t="shared" si="3"/>
        <v>Q1</v>
      </c>
      <c r="F44">
        <f t="shared" si="4"/>
        <v>1</v>
      </c>
      <c r="G44">
        <f t="shared" si="5"/>
        <v>2024</v>
      </c>
      <c r="H44" t="str">
        <f t="shared" si="6"/>
        <v>2024-Feb</v>
      </c>
      <c r="I44" t="str">
        <f t="shared" si="7"/>
        <v>Mon</v>
      </c>
      <c r="J44" t="str">
        <f t="shared" si="8"/>
        <v>Weekday</v>
      </c>
    </row>
    <row r="45" spans="1:10" x14ac:dyDescent="0.25">
      <c r="A45" s="1">
        <f t="shared" si="9"/>
        <v>45335</v>
      </c>
      <c r="B45">
        <f t="shared" si="0"/>
        <v>13</v>
      </c>
      <c r="C45">
        <f t="shared" si="1"/>
        <v>2</v>
      </c>
      <c r="D45" t="str">
        <f t="shared" si="2"/>
        <v>Feb</v>
      </c>
      <c r="E45" t="str">
        <f t="shared" si="3"/>
        <v>Q1</v>
      </c>
      <c r="F45">
        <f t="shared" si="4"/>
        <v>1</v>
      </c>
      <c r="G45">
        <f t="shared" si="5"/>
        <v>2024</v>
      </c>
      <c r="H45" t="str">
        <f t="shared" si="6"/>
        <v>2024-Feb</v>
      </c>
      <c r="I45" t="str">
        <f t="shared" si="7"/>
        <v>Tue</v>
      </c>
      <c r="J45" t="str">
        <f t="shared" si="8"/>
        <v>Weekday</v>
      </c>
    </row>
    <row r="46" spans="1:10" x14ac:dyDescent="0.25">
      <c r="A46" s="1">
        <f t="shared" si="9"/>
        <v>45336</v>
      </c>
      <c r="B46">
        <f t="shared" si="0"/>
        <v>14</v>
      </c>
      <c r="C46">
        <f t="shared" si="1"/>
        <v>2</v>
      </c>
      <c r="D46" t="str">
        <f t="shared" si="2"/>
        <v>Feb</v>
      </c>
      <c r="E46" t="str">
        <f t="shared" si="3"/>
        <v>Q1</v>
      </c>
      <c r="F46">
        <f t="shared" si="4"/>
        <v>1</v>
      </c>
      <c r="G46">
        <f t="shared" si="5"/>
        <v>2024</v>
      </c>
      <c r="H46" t="str">
        <f t="shared" si="6"/>
        <v>2024-Feb</v>
      </c>
      <c r="I46" t="str">
        <f t="shared" si="7"/>
        <v>Wed</v>
      </c>
      <c r="J46" t="str">
        <f t="shared" si="8"/>
        <v>Weekday</v>
      </c>
    </row>
    <row r="47" spans="1:10" x14ac:dyDescent="0.25">
      <c r="A47" s="1">
        <f t="shared" si="9"/>
        <v>45337</v>
      </c>
      <c r="B47">
        <f t="shared" si="0"/>
        <v>15</v>
      </c>
      <c r="C47">
        <f t="shared" si="1"/>
        <v>2</v>
      </c>
      <c r="D47" t="str">
        <f t="shared" si="2"/>
        <v>Feb</v>
      </c>
      <c r="E47" t="str">
        <f t="shared" si="3"/>
        <v>Q1</v>
      </c>
      <c r="F47">
        <f t="shared" si="4"/>
        <v>1</v>
      </c>
      <c r="G47">
        <f t="shared" si="5"/>
        <v>2024</v>
      </c>
      <c r="H47" t="str">
        <f t="shared" si="6"/>
        <v>2024-Feb</v>
      </c>
      <c r="I47" t="str">
        <f t="shared" si="7"/>
        <v>Thu</v>
      </c>
      <c r="J47" t="str">
        <f t="shared" si="8"/>
        <v>Weekday</v>
      </c>
    </row>
    <row r="48" spans="1:10" x14ac:dyDescent="0.25">
      <c r="A48" s="1">
        <f t="shared" si="9"/>
        <v>45338</v>
      </c>
      <c r="B48">
        <f t="shared" si="0"/>
        <v>16</v>
      </c>
      <c r="C48">
        <f t="shared" si="1"/>
        <v>2</v>
      </c>
      <c r="D48" t="str">
        <f t="shared" si="2"/>
        <v>Feb</v>
      </c>
      <c r="E48" t="str">
        <f t="shared" si="3"/>
        <v>Q1</v>
      </c>
      <c r="F48">
        <f t="shared" si="4"/>
        <v>1</v>
      </c>
      <c r="G48">
        <f t="shared" si="5"/>
        <v>2024</v>
      </c>
      <c r="H48" t="str">
        <f t="shared" si="6"/>
        <v>2024-Feb</v>
      </c>
      <c r="I48" t="str">
        <f t="shared" si="7"/>
        <v>Fri</v>
      </c>
      <c r="J48" t="str">
        <f t="shared" si="8"/>
        <v>Weekday</v>
      </c>
    </row>
    <row r="49" spans="1:10" x14ac:dyDescent="0.25">
      <c r="A49" s="1">
        <f t="shared" si="9"/>
        <v>45339</v>
      </c>
      <c r="B49">
        <f t="shared" si="0"/>
        <v>17</v>
      </c>
      <c r="C49">
        <f t="shared" si="1"/>
        <v>2</v>
      </c>
      <c r="D49" t="str">
        <f t="shared" si="2"/>
        <v>Feb</v>
      </c>
      <c r="E49" t="str">
        <f t="shared" si="3"/>
        <v>Q1</v>
      </c>
      <c r="F49">
        <f t="shared" si="4"/>
        <v>1</v>
      </c>
      <c r="G49">
        <f t="shared" si="5"/>
        <v>2024</v>
      </c>
      <c r="H49" t="str">
        <f t="shared" si="6"/>
        <v>2024-Feb</v>
      </c>
      <c r="I49" t="str">
        <f t="shared" si="7"/>
        <v>Sat</v>
      </c>
      <c r="J49" t="str">
        <f t="shared" si="8"/>
        <v>Weekend</v>
      </c>
    </row>
    <row r="50" spans="1:10" x14ac:dyDescent="0.25">
      <c r="A50" s="1">
        <f t="shared" si="9"/>
        <v>45340</v>
      </c>
      <c r="B50">
        <f t="shared" si="0"/>
        <v>18</v>
      </c>
      <c r="C50">
        <f t="shared" si="1"/>
        <v>2</v>
      </c>
      <c r="D50" t="str">
        <f t="shared" si="2"/>
        <v>Feb</v>
      </c>
      <c r="E50" t="str">
        <f t="shared" si="3"/>
        <v>Q1</v>
      </c>
      <c r="F50">
        <f t="shared" si="4"/>
        <v>1</v>
      </c>
      <c r="G50">
        <f t="shared" si="5"/>
        <v>2024</v>
      </c>
      <c r="H50" t="str">
        <f t="shared" si="6"/>
        <v>2024-Feb</v>
      </c>
      <c r="I50" t="str">
        <f t="shared" si="7"/>
        <v>Sun</v>
      </c>
      <c r="J50" t="str">
        <f t="shared" si="8"/>
        <v>Weekend</v>
      </c>
    </row>
    <row r="51" spans="1:10" x14ac:dyDescent="0.25">
      <c r="A51" s="1">
        <f t="shared" si="9"/>
        <v>45341</v>
      </c>
      <c r="B51">
        <f t="shared" si="0"/>
        <v>19</v>
      </c>
      <c r="C51">
        <f t="shared" si="1"/>
        <v>2</v>
      </c>
      <c r="D51" t="str">
        <f t="shared" si="2"/>
        <v>Feb</v>
      </c>
      <c r="E51" t="str">
        <f t="shared" si="3"/>
        <v>Q1</v>
      </c>
      <c r="F51">
        <f t="shared" si="4"/>
        <v>1</v>
      </c>
      <c r="G51">
        <f t="shared" si="5"/>
        <v>2024</v>
      </c>
      <c r="H51" t="str">
        <f t="shared" si="6"/>
        <v>2024-Feb</v>
      </c>
      <c r="I51" t="str">
        <f t="shared" si="7"/>
        <v>Mon</v>
      </c>
      <c r="J51" t="str">
        <f t="shared" si="8"/>
        <v>Weekday</v>
      </c>
    </row>
    <row r="52" spans="1:10" x14ac:dyDescent="0.25">
      <c r="A52" s="1">
        <f t="shared" si="9"/>
        <v>45342</v>
      </c>
      <c r="B52">
        <f t="shared" si="0"/>
        <v>20</v>
      </c>
      <c r="C52">
        <f t="shared" si="1"/>
        <v>2</v>
      </c>
      <c r="D52" t="str">
        <f t="shared" si="2"/>
        <v>Feb</v>
      </c>
      <c r="E52" t="str">
        <f t="shared" si="3"/>
        <v>Q1</v>
      </c>
      <c r="F52">
        <f t="shared" si="4"/>
        <v>1</v>
      </c>
      <c r="G52">
        <f t="shared" si="5"/>
        <v>2024</v>
      </c>
      <c r="H52" t="str">
        <f t="shared" si="6"/>
        <v>2024-Feb</v>
      </c>
      <c r="I52" t="str">
        <f t="shared" si="7"/>
        <v>Tue</v>
      </c>
      <c r="J52" t="str">
        <f t="shared" si="8"/>
        <v>Weekday</v>
      </c>
    </row>
    <row r="53" spans="1:10" x14ac:dyDescent="0.25">
      <c r="A53" s="1">
        <f t="shared" si="9"/>
        <v>45343</v>
      </c>
      <c r="B53">
        <f t="shared" si="0"/>
        <v>21</v>
      </c>
      <c r="C53">
        <f t="shared" si="1"/>
        <v>2</v>
      </c>
      <c r="D53" t="str">
        <f t="shared" si="2"/>
        <v>Feb</v>
      </c>
      <c r="E53" t="str">
        <f t="shared" si="3"/>
        <v>Q1</v>
      </c>
      <c r="F53">
        <f t="shared" si="4"/>
        <v>1</v>
      </c>
      <c r="G53">
        <f t="shared" si="5"/>
        <v>2024</v>
      </c>
      <c r="H53" t="str">
        <f t="shared" si="6"/>
        <v>2024-Feb</v>
      </c>
      <c r="I53" t="str">
        <f t="shared" si="7"/>
        <v>Wed</v>
      </c>
      <c r="J53" t="str">
        <f t="shared" si="8"/>
        <v>Weekday</v>
      </c>
    </row>
    <row r="54" spans="1:10" x14ac:dyDescent="0.25">
      <c r="A54" s="1">
        <f t="shared" si="9"/>
        <v>45344</v>
      </c>
      <c r="B54">
        <f t="shared" si="0"/>
        <v>22</v>
      </c>
      <c r="C54">
        <f t="shared" si="1"/>
        <v>2</v>
      </c>
      <c r="D54" t="str">
        <f t="shared" si="2"/>
        <v>Feb</v>
      </c>
      <c r="E54" t="str">
        <f t="shared" si="3"/>
        <v>Q1</v>
      </c>
      <c r="F54">
        <f t="shared" si="4"/>
        <v>1</v>
      </c>
      <c r="G54">
        <f t="shared" si="5"/>
        <v>2024</v>
      </c>
      <c r="H54" t="str">
        <f t="shared" si="6"/>
        <v>2024-Feb</v>
      </c>
      <c r="I54" t="str">
        <f t="shared" si="7"/>
        <v>Thu</v>
      </c>
      <c r="J54" t="str">
        <f t="shared" si="8"/>
        <v>Weekday</v>
      </c>
    </row>
    <row r="55" spans="1:10" x14ac:dyDescent="0.25">
      <c r="A55" s="1">
        <f t="shared" si="9"/>
        <v>45345</v>
      </c>
      <c r="B55">
        <f t="shared" si="0"/>
        <v>23</v>
      </c>
      <c r="C55">
        <f t="shared" si="1"/>
        <v>2</v>
      </c>
      <c r="D55" t="str">
        <f t="shared" si="2"/>
        <v>Feb</v>
      </c>
      <c r="E55" t="str">
        <f t="shared" si="3"/>
        <v>Q1</v>
      </c>
      <c r="F55">
        <f t="shared" si="4"/>
        <v>1</v>
      </c>
      <c r="G55">
        <f t="shared" si="5"/>
        <v>2024</v>
      </c>
      <c r="H55" t="str">
        <f t="shared" si="6"/>
        <v>2024-Feb</v>
      </c>
      <c r="I55" t="str">
        <f t="shared" si="7"/>
        <v>Fri</v>
      </c>
      <c r="J55" t="str">
        <f t="shared" si="8"/>
        <v>Weekday</v>
      </c>
    </row>
    <row r="56" spans="1:10" x14ac:dyDescent="0.25">
      <c r="A56" s="1">
        <f t="shared" si="9"/>
        <v>45346</v>
      </c>
      <c r="B56">
        <f t="shared" si="0"/>
        <v>24</v>
      </c>
      <c r="C56">
        <f t="shared" si="1"/>
        <v>2</v>
      </c>
      <c r="D56" t="str">
        <f t="shared" si="2"/>
        <v>Feb</v>
      </c>
      <c r="E56" t="str">
        <f t="shared" si="3"/>
        <v>Q1</v>
      </c>
      <c r="F56">
        <f t="shared" si="4"/>
        <v>1</v>
      </c>
      <c r="G56">
        <f t="shared" si="5"/>
        <v>2024</v>
      </c>
      <c r="H56" t="str">
        <f t="shared" si="6"/>
        <v>2024-Feb</v>
      </c>
      <c r="I56" t="str">
        <f t="shared" si="7"/>
        <v>Sat</v>
      </c>
      <c r="J56" t="str">
        <f t="shared" si="8"/>
        <v>Weekend</v>
      </c>
    </row>
    <row r="57" spans="1:10" x14ac:dyDescent="0.25">
      <c r="A57" s="1">
        <f t="shared" si="9"/>
        <v>45347</v>
      </c>
      <c r="B57">
        <f t="shared" si="0"/>
        <v>25</v>
      </c>
      <c r="C57">
        <f t="shared" si="1"/>
        <v>2</v>
      </c>
      <c r="D57" t="str">
        <f t="shared" si="2"/>
        <v>Feb</v>
      </c>
      <c r="E57" t="str">
        <f t="shared" si="3"/>
        <v>Q1</v>
      </c>
      <c r="F57">
        <f t="shared" si="4"/>
        <v>1</v>
      </c>
      <c r="G57">
        <f t="shared" si="5"/>
        <v>2024</v>
      </c>
      <c r="H57" t="str">
        <f t="shared" si="6"/>
        <v>2024-Feb</v>
      </c>
      <c r="I57" t="str">
        <f t="shared" si="7"/>
        <v>Sun</v>
      </c>
      <c r="J57" t="str">
        <f t="shared" si="8"/>
        <v>Weekend</v>
      </c>
    </row>
    <row r="58" spans="1:10" x14ac:dyDescent="0.25">
      <c r="A58" s="1">
        <f t="shared" si="9"/>
        <v>45348</v>
      </c>
      <c r="B58">
        <f t="shared" si="0"/>
        <v>26</v>
      </c>
      <c r="C58">
        <f t="shared" si="1"/>
        <v>2</v>
      </c>
      <c r="D58" t="str">
        <f t="shared" si="2"/>
        <v>Feb</v>
      </c>
      <c r="E58" t="str">
        <f t="shared" si="3"/>
        <v>Q1</v>
      </c>
      <c r="F58">
        <f t="shared" si="4"/>
        <v>1</v>
      </c>
      <c r="G58">
        <f t="shared" si="5"/>
        <v>2024</v>
      </c>
      <c r="H58" t="str">
        <f t="shared" si="6"/>
        <v>2024-Feb</v>
      </c>
      <c r="I58" t="str">
        <f t="shared" si="7"/>
        <v>Mon</v>
      </c>
      <c r="J58" t="str">
        <f t="shared" si="8"/>
        <v>Weekday</v>
      </c>
    </row>
    <row r="59" spans="1:10" x14ac:dyDescent="0.25">
      <c r="A59" s="1">
        <f t="shared" si="9"/>
        <v>45349</v>
      </c>
      <c r="B59">
        <f t="shared" si="0"/>
        <v>27</v>
      </c>
      <c r="C59">
        <f t="shared" si="1"/>
        <v>2</v>
      </c>
      <c r="D59" t="str">
        <f t="shared" si="2"/>
        <v>Feb</v>
      </c>
      <c r="E59" t="str">
        <f t="shared" si="3"/>
        <v>Q1</v>
      </c>
      <c r="F59">
        <f t="shared" si="4"/>
        <v>1</v>
      </c>
      <c r="G59">
        <f t="shared" si="5"/>
        <v>2024</v>
      </c>
      <c r="H59" t="str">
        <f t="shared" si="6"/>
        <v>2024-Feb</v>
      </c>
      <c r="I59" t="str">
        <f t="shared" si="7"/>
        <v>Tue</v>
      </c>
      <c r="J59" t="str">
        <f t="shared" si="8"/>
        <v>Weekday</v>
      </c>
    </row>
    <row r="60" spans="1:10" x14ac:dyDescent="0.25">
      <c r="A60" s="1">
        <f t="shared" si="9"/>
        <v>45350</v>
      </c>
      <c r="B60">
        <f t="shared" si="0"/>
        <v>28</v>
      </c>
      <c r="C60">
        <f t="shared" si="1"/>
        <v>2</v>
      </c>
      <c r="D60" t="str">
        <f t="shared" si="2"/>
        <v>Feb</v>
      </c>
      <c r="E60" t="str">
        <f t="shared" si="3"/>
        <v>Q1</v>
      </c>
      <c r="F60">
        <f t="shared" si="4"/>
        <v>1</v>
      </c>
      <c r="G60">
        <f t="shared" si="5"/>
        <v>2024</v>
      </c>
      <c r="H60" t="str">
        <f t="shared" si="6"/>
        <v>2024-Feb</v>
      </c>
      <c r="I60" t="str">
        <f t="shared" si="7"/>
        <v>Wed</v>
      </c>
      <c r="J60" t="str">
        <f t="shared" si="8"/>
        <v>Weekday</v>
      </c>
    </row>
    <row r="61" spans="1:10" x14ac:dyDescent="0.25">
      <c r="A61" s="1">
        <f t="shared" si="9"/>
        <v>45351</v>
      </c>
      <c r="B61">
        <f t="shared" si="0"/>
        <v>29</v>
      </c>
      <c r="C61">
        <f t="shared" si="1"/>
        <v>2</v>
      </c>
      <c r="D61" t="str">
        <f t="shared" si="2"/>
        <v>Feb</v>
      </c>
      <c r="E61" t="str">
        <f t="shared" si="3"/>
        <v>Q1</v>
      </c>
      <c r="F61">
        <f t="shared" si="4"/>
        <v>1</v>
      </c>
      <c r="G61">
        <f t="shared" si="5"/>
        <v>2024</v>
      </c>
      <c r="H61" t="str">
        <f t="shared" si="6"/>
        <v>2024-Feb</v>
      </c>
      <c r="I61" t="str">
        <f t="shared" si="7"/>
        <v>Thu</v>
      </c>
      <c r="J61" t="str">
        <f t="shared" si="8"/>
        <v>Weekday</v>
      </c>
    </row>
    <row r="62" spans="1:10" x14ac:dyDescent="0.25">
      <c r="A62" s="1">
        <f t="shared" si="9"/>
        <v>45352</v>
      </c>
      <c r="B62">
        <f t="shared" si="0"/>
        <v>1</v>
      </c>
      <c r="C62">
        <f t="shared" si="1"/>
        <v>3</v>
      </c>
      <c r="D62" t="str">
        <f t="shared" si="2"/>
        <v>Mar</v>
      </c>
      <c r="E62" t="str">
        <f t="shared" si="3"/>
        <v>Q1</v>
      </c>
      <c r="F62">
        <f t="shared" si="4"/>
        <v>1</v>
      </c>
      <c r="G62">
        <f t="shared" si="5"/>
        <v>2024</v>
      </c>
      <c r="H62" t="str">
        <f t="shared" si="6"/>
        <v>2024-Mar</v>
      </c>
      <c r="I62" t="str">
        <f t="shared" si="7"/>
        <v>Fri</v>
      </c>
      <c r="J62" t="str">
        <f t="shared" si="8"/>
        <v>Weekday</v>
      </c>
    </row>
    <row r="63" spans="1:10" x14ac:dyDescent="0.25">
      <c r="A63" s="1">
        <f t="shared" si="9"/>
        <v>45353</v>
      </c>
      <c r="B63">
        <f t="shared" si="0"/>
        <v>2</v>
      </c>
      <c r="C63">
        <f t="shared" si="1"/>
        <v>3</v>
      </c>
      <c r="D63" t="str">
        <f t="shared" si="2"/>
        <v>Mar</v>
      </c>
      <c r="E63" t="str">
        <f t="shared" si="3"/>
        <v>Q1</v>
      </c>
      <c r="F63">
        <f t="shared" si="4"/>
        <v>1</v>
      </c>
      <c r="G63">
        <f t="shared" si="5"/>
        <v>2024</v>
      </c>
      <c r="H63" t="str">
        <f t="shared" si="6"/>
        <v>2024-Mar</v>
      </c>
      <c r="I63" t="str">
        <f t="shared" si="7"/>
        <v>Sat</v>
      </c>
      <c r="J63" t="str">
        <f t="shared" si="8"/>
        <v>Weekend</v>
      </c>
    </row>
    <row r="64" spans="1:10" x14ac:dyDescent="0.25">
      <c r="A64" s="1">
        <f t="shared" si="9"/>
        <v>45354</v>
      </c>
      <c r="B64">
        <f t="shared" si="0"/>
        <v>3</v>
      </c>
      <c r="C64">
        <f t="shared" si="1"/>
        <v>3</v>
      </c>
      <c r="D64" t="str">
        <f t="shared" si="2"/>
        <v>Mar</v>
      </c>
      <c r="E64" t="str">
        <f t="shared" si="3"/>
        <v>Q1</v>
      </c>
      <c r="F64">
        <f t="shared" si="4"/>
        <v>1</v>
      </c>
      <c r="G64">
        <f t="shared" si="5"/>
        <v>2024</v>
      </c>
      <c r="H64" t="str">
        <f t="shared" si="6"/>
        <v>2024-Mar</v>
      </c>
      <c r="I64" t="str">
        <f t="shared" si="7"/>
        <v>Sun</v>
      </c>
      <c r="J64" t="str">
        <f t="shared" si="8"/>
        <v>Weekend</v>
      </c>
    </row>
    <row r="65" spans="1:10" x14ac:dyDescent="0.25">
      <c r="A65" s="1">
        <f t="shared" si="9"/>
        <v>45355</v>
      </c>
      <c r="B65">
        <f t="shared" si="0"/>
        <v>4</v>
      </c>
      <c r="C65">
        <f t="shared" si="1"/>
        <v>3</v>
      </c>
      <c r="D65" t="str">
        <f t="shared" si="2"/>
        <v>Mar</v>
      </c>
      <c r="E65" t="str">
        <f t="shared" si="3"/>
        <v>Q1</v>
      </c>
      <c r="F65">
        <f t="shared" si="4"/>
        <v>1</v>
      </c>
      <c r="G65">
        <f t="shared" si="5"/>
        <v>2024</v>
      </c>
      <c r="H65" t="str">
        <f t="shared" si="6"/>
        <v>2024-Mar</v>
      </c>
      <c r="I65" t="str">
        <f t="shared" si="7"/>
        <v>Mon</v>
      </c>
      <c r="J65" t="str">
        <f t="shared" si="8"/>
        <v>Weekday</v>
      </c>
    </row>
    <row r="66" spans="1:10" x14ac:dyDescent="0.25">
      <c r="A66" s="1">
        <f t="shared" si="9"/>
        <v>45356</v>
      </c>
      <c r="B66">
        <f t="shared" si="0"/>
        <v>5</v>
      </c>
      <c r="C66">
        <f t="shared" si="1"/>
        <v>3</v>
      </c>
      <c r="D66" t="str">
        <f t="shared" si="2"/>
        <v>Mar</v>
      </c>
      <c r="E66" t="str">
        <f t="shared" si="3"/>
        <v>Q1</v>
      </c>
      <c r="F66">
        <f t="shared" si="4"/>
        <v>1</v>
      </c>
      <c r="G66">
        <f t="shared" si="5"/>
        <v>2024</v>
      </c>
      <c r="H66" t="str">
        <f t="shared" si="6"/>
        <v>2024-Mar</v>
      </c>
      <c r="I66" t="str">
        <f t="shared" si="7"/>
        <v>Tue</v>
      </c>
      <c r="J66" t="str">
        <f t="shared" si="8"/>
        <v>Weekday</v>
      </c>
    </row>
    <row r="67" spans="1:10" x14ac:dyDescent="0.25">
      <c r="A67" s="1">
        <f t="shared" si="9"/>
        <v>45357</v>
      </c>
      <c r="B67">
        <f t="shared" ref="B67:B130" si="10">DAY(A67)</f>
        <v>6</v>
      </c>
      <c r="C67">
        <f t="shared" ref="C67:C130" si="11">MONTH(A67)</f>
        <v>3</v>
      </c>
      <c r="D67" t="str">
        <f t="shared" ref="D67:D130" si="12">TEXT(A67,"MMM")</f>
        <v>Mar</v>
      </c>
      <c r="E67" t="str">
        <f t="shared" ref="E67:E130" si="13">"Q"&amp;ROUNDUP(MONTH(A67)/3,0)</f>
        <v>Q1</v>
      </c>
      <c r="F67">
        <f t="shared" ref="F67:F130" si="14">ROUNDUP(MONTH(A67)/3,0)</f>
        <v>1</v>
      </c>
      <c r="G67">
        <f t="shared" ref="G67:G130" si="15">YEAR(A67)</f>
        <v>2024</v>
      </c>
      <c r="H67" t="str">
        <f t="shared" ref="H67:H130" si="16">TEXT(A67,"YYYY-MMM")</f>
        <v>2024-Mar</v>
      </c>
      <c r="I67" t="str">
        <f t="shared" ref="I67:I130" si="17">TEXT(A67,"DDD")</f>
        <v>Wed</v>
      </c>
      <c r="J67" t="str">
        <f t="shared" ref="J67:J130" si="18">IF(WEEKDAY(A67,2)&gt;=6,"Weekend","Weekday")</f>
        <v>Weekday</v>
      </c>
    </row>
    <row r="68" spans="1:10" x14ac:dyDescent="0.25">
      <c r="A68" s="1">
        <f t="shared" ref="A68:A131" si="19">A67+1</f>
        <v>45358</v>
      </c>
      <c r="B68">
        <f t="shared" si="10"/>
        <v>7</v>
      </c>
      <c r="C68">
        <f t="shared" si="11"/>
        <v>3</v>
      </c>
      <c r="D68" t="str">
        <f t="shared" si="12"/>
        <v>Mar</v>
      </c>
      <c r="E68" t="str">
        <f t="shared" si="13"/>
        <v>Q1</v>
      </c>
      <c r="F68">
        <f t="shared" si="14"/>
        <v>1</v>
      </c>
      <c r="G68">
        <f t="shared" si="15"/>
        <v>2024</v>
      </c>
      <c r="H68" t="str">
        <f t="shared" si="16"/>
        <v>2024-Mar</v>
      </c>
      <c r="I68" t="str">
        <f t="shared" si="17"/>
        <v>Thu</v>
      </c>
      <c r="J68" t="str">
        <f t="shared" si="18"/>
        <v>Weekday</v>
      </c>
    </row>
    <row r="69" spans="1:10" x14ac:dyDescent="0.25">
      <c r="A69" s="1">
        <f t="shared" si="19"/>
        <v>45359</v>
      </c>
      <c r="B69">
        <f t="shared" si="10"/>
        <v>8</v>
      </c>
      <c r="C69">
        <f t="shared" si="11"/>
        <v>3</v>
      </c>
      <c r="D69" t="str">
        <f t="shared" si="12"/>
        <v>Mar</v>
      </c>
      <c r="E69" t="str">
        <f t="shared" si="13"/>
        <v>Q1</v>
      </c>
      <c r="F69">
        <f t="shared" si="14"/>
        <v>1</v>
      </c>
      <c r="G69">
        <f t="shared" si="15"/>
        <v>2024</v>
      </c>
      <c r="H69" t="str">
        <f t="shared" si="16"/>
        <v>2024-Mar</v>
      </c>
      <c r="I69" t="str">
        <f t="shared" si="17"/>
        <v>Fri</v>
      </c>
      <c r="J69" t="str">
        <f t="shared" si="18"/>
        <v>Weekday</v>
      </c>
    </row>
    <row r="70" spans="1:10" x14ac:dyDescent="0.25">
      <c r="A70" s="1">
        <f t="shared" si="19"/>
        <v>45360</v>
      </c>
      <c r="B70">
        <f t="shared" si="10"/>
        <v>9</v>
      </c>
      <c r="C70">
        <f t="shared" si="11"/>
        <v>3</v>
      </c>
      <c r="D70" t="str">
        <f t="shared" si="12"/>
        <v>Mar</v>
      </c>
      <c r="E70" t="str">
        <f t="shared" si="13"/>
        <v>Q1</v>
      </c>
      <c r="F70">
        <f t="shared" si="14"/>
        <v>1</v>
      </c>
      <c r="G70">
        <f t="shared" si="15"/>
        <v>2024</v>
      </c>
      <c r="H70" t="str">
        <f t="shared" si="16"/>
        <v>2024-Mar</v>
      </c>
      <c r="I70" t="str">
        <f t="shared" si="17"/>
        <v>Sat</v>
      </c>
      <c r="J70" t="str">
        <f t="shared" si="18"/>
        <v>Weekend</v>
      </c>
    </row>
    <row r="71" spans="1:10" x14ac:dyDescent="0.25">
      <c r="A71" s="1">
        <f t="shared" si="19"/>
        <v>45361</v>
      </c>
      <c r="B71">
        <f t="shared" si="10"/>
        <v>10</v>
      </c>
      <c r="C71">
        <f t="shared" si="11"/>
        <v>3</v>
      </c>
      <c r="D71" t="str">
        <f t="shared" si="12"/>
        <v>Mar</v>
      </c>
      <c r="E71" t="str">
        <f t="shared" si="13"/>
        <v>Q1</v>
      </c>
      <c r="F71">
        <f t="shared" si="14"/>
        <v>1</v>
      </c>
      <c r="G71">
        <f t="shared" si="15"/>
        <v>2024</v>
      </c>
      <c r="H71" t="str">
        <f t="shared" si="16"/>
        <v>2024-Mar</v>
      </c>
      <c r="I71" t="str">
        <f t="shared" si="17"/>
        <v>Sun</v>
      </c>
      <c r="J71" t="str">
        <f t="shared" si="18"/>
        <v>Weekend</v>
      </c>
    </row>
    <row r="72" spans="1:10" x14ac:dyDescent="0.25">
      <c r="A72" s="1">
        <f t="shared" si="19"/>
        <v>45362</v>
      </c>
      <c r="B72">
        <f t="shared" si="10"/>
        <v>11</v>
      </c>
      <c r="C72">
        <f t="shared" si="11"/>
        <v>3</v>
      </c>
      <c r="D72" t="str">
        <f t="shared" si="12"/>
        <v>Mar</v>
      </c>
      <c r="E72" t="str">
        <f t="shared" si="13"/>
        <v>Q1</v>
      </c>
      <c r="F72">
        <f t="shared" si="14"/>
        <v>1</v>
      </c>
      <c r="G72">
        <f t="shared" si="15"/>
        <v>2024</v>
      </c>
      <c r="H72" t="str">
        <f t="shared" si="16"/>
        <v>2024-Mar</v>
      </c>
      <c r="I72" t="str">
        <f t="shared" si="17"/>
        <v>Mon</v>
      </c>
      <c r="J72" t="str">
        <f t="shared" si="18"/>
        <v>Weekday</v>
      </c>
    </row>
    <row r="73" spans="1:10" x14ac:dyDescent="0.25">
      <c r="A73" s="1">
        <f t="shared" si="19"/>
        <v>45363</v>
      </c>
      <c r="B73">
        <f t="shared" si="10"/>
        <v>12</v>
      </c>
      <c r="C73">
        <f t="shared" si="11"/>
        <v>3</v>
      </c>
      <c r="D73" t="str">
        <f t="shared" si="12"/>
        <v>Mar</v>
      </c>
      <c r="E73" t="str">
        <f t="shared" si="13"/>
        <v>Q1</v>
      </c>
      <c r="F73">
        <f t="shared" si="14"/>
        <v>1</v>
      </c>
      <c r="G73">
        <f t="shared" si="15"/>
        <v>2024</v>
      </c>
      <c r="H73" t="str">
        <f t="shared" si="16"/>
        <v>2024-Mar</v>
      </c>
      <c r="I73" t="str">
        <f t="shared" si="17"/>
        <v>Tue</v>
      </c>
      <c r="J73" t="str">
        <f t="shared" si="18"/>
        <v>Weekday</v>
      </c>
    </row>
    <row r="74" spans="1:10" x14ac:dyDescent="0.25">
      <c r="A74" s="1">
        <f t="shared" si="19"/>
        <v>45364</v>
      </c>
      <c r="B74">
        <f t="shared" si="10"/>
        <v>13</v>
      </c>
      <c r="C74">
        <f t="shared" si="11"/>
        <v>3</v>
      </c>
      <c r="D74" t="str">
        <f t="shared" si="12"/>
        <v>Mar</v>
      </c>
      <c r="E74" t="str">
        <f t="shared" si="13"/>
        <v>Q1</v>
      </c>
      <c r="F74">
        <f t="shared" si="14"/>
        <v>1</v>
      </c>
      <c r="G74">
        <f t="shared" si="15"/>
        <v>2024</v>
      </c>
      <c r="H74" t="str">
        <f t="shared" si="16"/>
        <v>2024-Mar</v>
      </c>
      <c r="I74" t="str">
        <f t="shared" si="17"/>
        <v>Wed</v>
      </c>
      <c r="J74" t="str">
        <f t="shared" si="18"/>
        <v>Weekday</v>
      </c>
    </row>
    <row r="75" spans="1:10" x14ac:dyDescent="0.25">
      <c r="A75" s="1">
        <f t="shared" si="19"/>
        <v>45365</v>
      </c>
      <c r="B75">
        <f t="shared" si="10"/>
        <v>14</v>
      </c>
      <c r="C75">
        <f t="shared" si="11"/>
        <v>3</v>
      </c>
      <c r="D75" t="str">
        <f t="shared" si="12"/>
        <v>Mar</v>
      </c>
      <c r="E75" t="str">
        <f t="shared" si="13"/>
        <v>Q1</v>
      </c>
      <c r="F75">
        <f t="shared" si="14"/>
        <v>1</v>
      </c>
      <c r="G75">
        <f t="shared" si="15"/>
        <v>2024</v>
      </c>
      <c r="H75" t="str">
        <f t="shared" si="16"/>
        <v>2024-Mar</v>
      </c>
      <c r="I75" t="str">
        <f t="shared" si="17"/>
        <v>Thu</v>
      </c>
      <c r="J75" t="str">
        <f t="shared" si="18"/>
        <v>Weekday</v>
      </c>
    </row>
    <row r="76" spans="1:10" x14ac:dyDescent="0.25">
      <c r="A76" s="1">
        <f t="shared" si="19"/>
        <v>45366</v>
      </c>
      <c r="B76">
        <f t="shared" si="10"/>
        <v>15</v>
      </c>
      <c r="C76">
        <f t="shared" si="11"/>
        <v>3</v>
      </c>
      <c r="D76" t="str">
        <f t="shared" si="12"/>
        <v>Mar</v>
      </c>
      <c r="E76" t="str">
        <f t="shared" si="13"/>
        <v>Q1</v>
      </c>
      <c r="F76">
        <f t="shared" si="14"/>
        <v>1</v>
      </c>
      <c r="G76">
        <f t="shared" si="15"/>
        <v>2024</v>
      </c>
      <c r="H76" t="str">
        <f t="shared" si="16"/>
        <v>2024-Mar</v>
      </c>
      <c r="I76" t="str">
        <f t="shared" si="17"/>
        <v>Fri</v>
      </c>
      <c r="J76" t="str">
        <f t="shared" si="18"/>
        <v>Weekday</v>
      </c>
    </row>
    <row r="77" spans="1:10" x14ac:dyDescent="0.25">
      <c r="A77" s="1">
        <f t="shared" si="19"/>
        <v>45367</v>
      </c>
      <c r="B77">
        <f t="shared" si="10"/>
        <v>16</v>
      </c>
      <c r="C77">
        <f t="shared" si="11"/>
        <v>3</v>
      </c>
      <c r="D77" t="str">
        <f t="shared" si="12"/>
        <v>Mar</v>
      </c>
      <c r="E77" t="str">
        <f t="shared" si="13"/>
        <v>Q1</v>
      </c>
      <c r="F77">
        <f t="shared" si="14"/>
        <v>1</v>
      </c>
      <c r="G77">
        <f t="shared" si="15"/>
        <v>2024</v>
      </c>
      <c r="H77" t="str">
        <f t="shared" si="16"/>
        <v>2024-Mar</v>
      </c>
      <c r="I77" t="str">
        <f t="shared" si="17"/>
        <v>Sat</v>
      </c>
      <c r="J77" t="str">
        <f t="shared" si="18"/>
        <v>Weekend</v>
      </c>
    </row>
    <row r="78" spans="1:10" x14ac:dyDescent="0.25">
      <c r="A78" s="1">
        <f t="shared" si="19"/>
        <v>45368</v>
      </c>
      <c r="B78">
        <f t="shared" si="10"/>
        <v>17</v>
      </c>
      <c r="C78">
        <f t="shared" si="11"/>
        <v>3</v>
      </c>
      <c r="D78" t="str">
        <f t="shared" si="12"/>
        <v>Mar</v>
      </c>
      <c r="E78" t="str">
        <f t="shared" si="13"/>
        <v>Q1</v>
      </c>
      <c r="F78">
        <f t="shared" si="14"/>
        <v>1</v>
      </c>
      <c r="G78">
        <f t="shared" si="15"/>
        <v>2024</v>
      </c>
      <c r="H78" t="str">
        <f t="shared" si="16"/>
        <v>2024-Mar</v>
      </c>
      <c r="I78" t="str">
        <f t="shared" si="17"/>
        <v>Sun</v>
      </c>
      <c r="J78" t="str">
        <f t="shared" si="18"/>
        <v>Weekend</v>
      </c>
    </row>
    <row r="79" spans="1:10" x14ac:dyDescent="0.25">
      <c r="A79" s="1">
        <f t="shared" si="19"/>
        <v>45369</v>
      </c>
      <c r="B79">
        <f t="shared" si="10"/>
        <v>18</v>
      </c>
      <c r="C79">
        <f t="shared" si="11"/>
        <v>3</v>
      </c>
      <c r="D79" t="str">
        <f t="shared" si="12"/>
        <v>Mar</v>
      </c>
      <c r="E79" t="str">
        <f t="shared" si="13"/>
        <v>Q1</v>
      </c>
      <c r="F79">
        <f t="shared" si="14"/>
        <v>1</v>
      </c>
      <c r="G79">
        <f t="shared" si="15"/>
        <v>2024</v>
      </c>
      <c r="H79" t="str">
        <f t="shared" si="16"/>
        <v>2024-Mar</v>
      </c>
      <c r="I79" t="str">
        <f t="shared" si="17"/>
        <v>Mon</v>
      </c>
      <c r="J79" t="str">
        <f t="shared" si="18"/>
        <v>Weekday</v>
      </c>
    </row>
    <row r="80" spans="1:10" x14ac:dyDescent="0.25">
      <c r="A80" s="1">
        <f t="shared" si="19"/>
        <v>45370</v>
      </c>
      <c r="B80">
        <f t="shared" si="10"/>
        <v>19</v>
      </c>
      <c r="C80">
        <f t="shared" si="11"/>
        <v>3</v>
      </c>
      <c r="D80" t="str">
        <f t="shared" si="12"/>
        <v>Mar</v>
      </c>
      <c r="E80" t="str">
        <f t="shared" si="13"/>
        <v>Q1</v>
      </c>
      <c r="F80">
        <f t="shared" si="14"/>
        <v>1</v>
      </c>
      <c r="G80">
        <f t="shared" si="15"/>
        <v>2024</v>
      </c>
      <c r="H80" t="str">
        <f t="shared" si="16"/>
        <v>2024-Mar</v>
      </c>
      <c r="I80" t="str">
        <f t="shared" si="17"/>
        <v>Tue</v>
      </c>
      <c r="J80" t="str">
        <f t="shared" si="18"/>
        <v>Weekday</v>
      </c>
    </row>
    <row r="81" spans="1:10" x14ac:dyDescent="0.25">
      <c r="A81" s="1">
        <f t="shared" si="19"/>
        <v>45371</v>
      </c>
      <c r="B81">
        <f t="shared" si="10"/>
        <v>20</v>
      </c>
      <c r="C81">
        <f t="shared" si="11"/>
        <v>3</v>
      </c>
      <c r="D81" t="str">
        <f t="shared" si="12"/>
        <v>Mar</v>
      </c>
      <c r="E81" t="str">
        <f t="shared" si="13"/>
        <v>Q1</v>
      </c>
      <c r="F81">
        <f t="shared" si="14"/>
        <v>1</v>
      </c>
      <c r="G81">
        <f t="shared" si="15"/>
        <v>2024</v>
      </c>
      <c r="H81" t="str">
        <f t="shared" si="16"/>
        <v>2024-Mar</v>
      </c>
      <c r="I81" t="str">
        <f t="shared" si="17"/>
        <v>Wed</v>
      </c>
      <c r="J81" t="str">
        <f t="shared" si="18"/>
        <v>Weekday</v>
      </c>
    </row>
    <row r="82" spans="1:10" x14ac:dyDescent="0.25">
      <c r="A82" s="1">
        <f t="shared" si="19"/>
        <v>45372</v>
      </c>
      <c r="B82">
        <f t="shared" si="10"/>
        <v>21</v>
      </c>
      <c r="C82">
        <f t="shared" si="11"/>
        <v>3</v>
      </c>
      <c r="D82" t="str">
        <f t="shared" si="12"/>
        <v>Mar</v>
      </c>
      <c r="E82" t="str">
        <f t="shared" si="13"/>
        <v>Q1</v>
      </c>
      <c r="F82">
        <f t="shared" si="14"/>
        <v>1</v>
      </c>
      <c r="G82">
        <f t="shared" si="15"/>
        <v>2024</v>
      </c>
      <c r="H82" t="str">
        <f t="shared" si="16"/>
        <v>2024-Mar</v>
      </c>
      <c r="I82" t="str">
        <f t="shared" si="17"/>
        <v>Thu</v>
      </c>
      <c r="J82" t="str">
        <f t="shared" si="18"/>
        <v>Weekday</v>
      </c>
    </row>
    <row r="83" spans="1:10" x14ac:dyDescent="0.25">
      <c r="A83" s="1">
        <f t="shared" si="19"/>
        <v>45373</v>
      </c>
      <c r="B83">
        <f t="shared" si="10"/>
        <v>22</v>
      </c>
      <c r="C83">
        <f t="shared" si="11"/>
        <v>3</v>
      </c>
      <c r="D83" t="str">
        <f t="shared" si="12"/>
        <v>Mar</v>
      </c>
      <c r="E83" t="str">
        <f t="shared" si="13"/>
        <v>Q1</v>
      </c>
      <c r="F83">
        <f t="shared" si="14"/>
        <v>1</v>
      </c>
      <c r="G83">
        <f t="shared" si="15"/>
        <v>2024</v>
      </c>
      <c r="H83" t="str">
        <f t="shared" si="16"/>
        <v>2024-Mar</v>
      </c>
      <c r="I83" t="str">
        <f t="shared" si="17"/>
        <v>Fri</v>
      </c>
      <c r="J83" t="str">
        <f t="shared" si="18"/>
        <v>Weekday</v>
      </c>
    </row>
    <row r="84" spans="1:10" x14ac:dyDescent="0.25">
      <c r="A84" s="1">
        <f t="shared" si="19"/>
        <v>45374</v>
      </c>
      <c r="B84">
        <f t="shared" si="10"/>
        <v>23</v>
      </c>
      <c r="C84">
        <f t="shared" si="11"/>
        <v>3</v>
      </c>
      <c r="D84" t="str">
        <f t="shared" si="12"/>
        <v>Mar</v>
      </c>
      <c r="E84" t="str">
        <f t="shared" si="13"/>
        <v>Q1</v>
      </c>
      <c r="F84">
        <f t="shared" si="14"/>
        <v>1</v>
      </c>
      <c r="G84">
        <f t="shared" si="15"/>
        <v>2024</v>
      </c>
      <c r="H84" t="str">
        <f t="shared" si="16"/>
        <v>2024-Mar</v>
      </c>
      <c r="I84" t="str">
        <f t="shared" si="17"/>
        <v>Sat</v>
      </c>
      <c r="J84" t="str">
        <f t="shared" si="18"/>
        <v>Weekend</v>
      </c>
    </row>
    <row r="85" spans="1:10" x14ac:dyDescent="0.25">
      <c r="A85" s="1">
        <f t="shared" si="19"/>
        <v>45375</v>
      </c>
      <c r="B85">
        <f t="shared" si="10"/>
        <v>24</v>
      </c>
      <c r="C85">
        <f t="shared" si="11"/>
        <v>3</v>
      </c>
      <c r="D85" t="str">
        <f t="shared" si="12"/>
        <v>Mar</v>
      </c>
      <c r="E85" t="str">
        <f t="shared" si="13"/>
        <v>Q1</v>
      </c>
      <c r="F85">
        <f t="shared" si="14"/>
        <v>1</v>
      </c>
      <c r="G85">
        <f t="shared" si="15"/>
        <v>2024</v>
      </c>
      <c r="H85" t="str">
        <f t="shared" si="16"/>
        <v>2024-Mar</v>
      </c>
      <c r="I85" t="str">
        <f t="shared" si="17"/>
        <v>Sun</v>
      </c>
      <c r="J85" t="str">
        <f t="shared" si="18"/>
        <v>Weekend</v>
      </c>
    </row>
    <row r="86" spans="1:10" x14ac:dyDescent="0.25">
      <c r="A86" s="1">
        <f t="shared" si="19"/>
        <v>45376</v>
      </c>
      <c r="B86">
        <f t="shared" si="10"/>
        <v>25</v>
      </c>
      <c r="C86">
        <f t="shared" si="11"/>
        <v>3</v>
      </c>
      <c r="D86" t="str">
        <f t="shared" si="12"/>
        <v>Mar</v>
      </c>
      <c r="E86" t="str">
        <f t="shared" si="13"/>
        <v>Q1</v>
      </c>
      <c r="F86">
        <f t="shared" si="14"/>
        <v>1</v>
      </c>
      <c r="G86">
        <f t="shared" si="15"/>
        <v>2024</v>
      </c>
      <c r="H86" t="str">
        <f t="shared" si="16"/>
        <v>2024-Mar</v>
      </c>
      <c r="I86" t="str">
        <f t="shared" si="17"/>
        <v>Mon</v>
      </c>
      <c r="J86" t="str">
        <f t="shared" si="18"/>
        <v>Weekday</v>
      </c>
    </row>
    <row r="87" spans="1:10" x14ac:dyDescent="0.25">
      <c r="A87" s="1">
        <f t="shared" si="19"/>
        <v>45377</v>
      </c>
      <c r="B87">
        <f t="shared" si="10"/>
        <v>26</v>
      </c>
      <c r="C87">
        <f t="shared" si="11"/>
        <v>3</v>
      </c>
      <c r="D87" t="str">
        <f t="shared" si="12"/>
        <v>Mar</v>
      </c>
      <c r="E87" t="str">
        <f t="shared" si="13"/>
        <v>Q1</v>
      </c>
      <c r="F87">
        <f t="shared" si="14"/>
        <v>1</v>
      </c>
      <c r="G87">
        <f t="shared" si="15"/>
        <v>2024</v>
      </c>
      <c r="H87" t="str">
        <f t="shared" si="16"/>
        <v>2024-Mar</v>
      </c>
      <c r="I87" t="str">
        <f t="shared" si="17"/>
        <v>Tue</v>
      </c>
      <c r="J87" t="str">
        <f t="shared" si="18"/>
        <v>Weekday</v>
      </c>
    </row>
    <row r="88" spans="1:10" x14ac:dyDescent="0.25">
      <c r="A88" s="1">
        <f t="shared" si="19"/>
        <v>45378</v>
      </c>
      <c r="B88">
        <f t="shared" si="10"/>
        <v>27</v>
      </c>
      <c r="C88">
        <f t="shared" si="11"/>
        <v>3</v>
      </c>
      <c r="D88" t="str">
        <f t="shared" si="12"/>
        <v>Mar</v>
      </c>
      <c r="E88" t="str">
        <f t="shared" si="13"/>
        <v>Q1</v>
      </c>
      <c r="F88">
        <f t="shared" si="14"/>
        <v>1</v>
      </c>
      <c r="G88">
        <f t="shared" si="15"/>
        <v>2024</v>
      </c>
      <c r="H88" t="str">
        <f t="shared" si="16"/>
        <v>2024-Mar</v>
      </c>
      <c r="I88" t="str">
        <f t="shared" si="17"/>
        <v>Wed</v>
      </c>
      <c r="J88" t="str">
        <f t="shared" si="18"/>
        <v>Weekday</v>
      </c>
    </row>
    <row r="89" spans="1:10" x14ac:dyDescent="0.25">
      <c r="A89" s="1">
        <f t="shared" si="19"/>
        <v>45379</v>
      </c>
      <c r="B89">
        <f t="shared" si="10"/>
        <v>28</v>
      </c>
      <c r="C89">
        <f t="shared" si="11"/>
        <v>3</v>
      </c>
      <c r="D89" t="str">
        <f t="shared" si="12"/>
        <v>Mar</v>
      </c>
      <c r="E89" t="str">
        <f t="shared" si="13"/>
        <v>Q1</v>
      </c>
      <c r="F89">
        <f t="shared" si="14"/>
        <v>1</v>
      </c>
      <c r="G89">
        <f t="shared" si="15"/>
        <v>2024</v>
      </c>
      <c r="H89" t="str">
        <f t="shared" si="16"/>
        <v>2024-Mar</v>
      </c>
      <c r="I89" t="str">
        <f t="shared" si="17"/>
        <v>Thu</v>
      </c>
      <c r="J89" t="str">
        <f t="shared" si="18"/>
        <v>Weekday</v>
      </c>
    </row>
    <row r="90" spans="1:10" x14ac:dyDescent="0.25">
      <c r="A90" s="1">
        <f t="shared" si="19"/>
        <v>45380</v>
      </c>
      <c r="B90">
        <f t="shared" si="10"/>
        <v>29</v>
      </c>
      <c r="C90">
        <f t="shared" si="11"/>
        <v>3</v>
      </c>
      <c r="D90" t="str">
        <f t="shared" si="12"/>
        <v>Mar</v>
      </c>
      <c r="E90" t="str">
        <f t="shared" si="13"/>
        <v>Q1</v>
      </c>
      <c r="F90">
        <f t="shared" si="14"/>
        <v>1</v>
      </c>
      <c r="G90">
        <f t="shared" si="15"/>
        <v>2024</v>
      </c>
      <c r="H90" t="str">
        <f t="shared" si="16"/>
        <v>2024-Mar</v>
      </c>
      <c r="I90" t="str">
        <f t="shared" si="17"/>
        <v>Fri</v>
      </c>
      <c r="J90" t="str">
        <f t="shared" si="18"/>
        <v>Weekday</v>
      </c>
    </row>
    <row r="91" spans="1:10" x14ac:dyDescent="0.25">
      <c r="A91" s="1">
        <f t="shared" si="19"/>
        <v>45381</v>
      </c>
      <c r="B91">
        <f t="shared" si="10"/>
        <v>30</v>
      </c>
      <c r="C91">
        <f t="shared" si="11"/>
        <v>3</v>
      </c>
      <c r="D91" t="str">
        <f t="shared" si="12"/>
        <v>Mar</v>
      </c>
      <c r="E91" t="str">
        <f t="shared" si="13"/>
        <v>Q1</v>
      </c>
      <c r="F91">
        <f t="shared" si="14"/>
        <v>1</v>
      </c>
      <c r="G91">
        <f t="shared" si="15"/>
        <v>2024</v>
      </c>
      <c r="H91" t="str">
        <f t="shared" si="16"/>
        <v>2024-Mar</v>
      </c>
      <c r="I91" t="str">
        <f t="shared" si="17"/>
        <v>Sat</v>
      </c>
      <c r="J91" t="str">
        <f t="shared" si="18"/>
        <v>Weekend</v>
      </c>
    </row>
    <row r="92" spans="1:10" x14ac:dyDescent="0.25">
      <c r="A92" s="1">
        <f t="shared" si="19"/>
        <v>45382</v>
      </c>
      <c r="B92">
        <f t="shared" si="10"/>
        <v>31</v>
      </c>
      <c r="C92">
        <f t="shared" si="11"/>
        <v>3</v>
      </c>
      <c r="D92" t="str">
        <f t="shared" si="12"/>
        <v>Mar</v>
      </c>
      <c r="E92" t="str">
        <f t="shared" si="13"/>
        <v>Q1</v>
      </c>
      <c r="F92">
        <f t="shared" si="14"/>
        <v>1</v>
      </c>
      <c r="G92">
        <f t="shared" si="15"/>
        <v>2024</v>
      </c>
      <c r="H92" t="str">
        <f t="shared" si="16"/>
        <v>2024-Mar</v>
      </c>
      <c r="I92" t="str">
        <f t="shared" si="17"/>
        <v>Sun</v>
      </c>
      <c r="J92" t="str">
        <f t="shared" si="18"/>
        <v>Weekend</v>
      </c>
    </row>
    <row r="93" spans="1:10" x14ac:dyDescent="0.25">
      <c r="A93" s="1">
        <f t="shared" si="19"/>
        <v>45383</v>
      </c>
      <c r="B93">
        <f t="shared" si="10"/>
        <v>1</v>
      </c>
      <c r="C93">
        <f t="shared" si="11"/>
        <v>4</v>
      </c>
      <c r="D93" t="str">
        <f t="shared" si="12"/>
        <v>Apr</v>
      </c>
      <c r="E93" t="str">
        <f t="shared" si="13"/>
        <v>Q2</v>
      </c>
      <c r="F93">
        <f t="shared" si="14"/>
        <v>2</v>
      </c>
      <c r="G93">
        <f t="shared" si="15"/>
        <v>2024</v>
      </c>
      <c r="H93" t="str">
        <f t="shared" si="16"/>
        <v>2024-Apr</v>
      </c>
      <c r="I93" t="str">
        <f t="shared" si="17"/>
        <v>Mon</v>
      </c>
      <c r="J93" t="str">
        <f t="shared" si="18"/>
        <v>Weekday</v>
      </c>
    </row>
    <row r="94" spans="1:10" x14ac:dyDescent="0.25">
      <c r="A94" s="1">
        <f t="shared" si="19"/>
        <v>45384</v>
      </c>
      <c r="B94">
        <f t="shared" si="10"/>
        <v>2</v>
      </c>
      <c r="C94">
        <f t="shared" si="11"/>
        <v>4</v>
      </c>
      <c r="D94" t="str">
        <f t="shared" si="12"/>
        <v>Apr</v>
      </c>
      <c r="E94" t="str">
        <f t="shared" si="13"/>
        <v>Q2</v>
      </c>
      <c r="F94">
        <f t="shared" si="14"/>
        <v>2</v>
      </c>
      <c r="G94">
        <f t="shared" si="15"/>
        <v>2024</v>
      </c>
      <c r="H94" t="str">
        <f t="shared" si="16"/>
        <v>2024-Apr</v>
      </c>
      <c r="I94" t="str">
        <f t="shared" si="17"/>
        <v>Tue</v>
      </c>
      <c r="J94" t="str">
        <f t="shared" si="18"/>
        <v>Weekday</v>
      </c>
    </row>
    <row r="95" spans="1:10" x14ac:dyDescent="0.25">
      <c r="A95" s="1">
        <f t="shared" si="19"/>
        <v>45385</v>
      </c>
      <c r="B95">
        <f t="shared" si="10"/>
        <v>3</v>
      </c>
      <c r="C95">
        <f t="shared" si="11"/>
        <v>4</v>
      </c>
      <c r="D95" t="str">
        <f t="shared" si="12"/>
        <v>Apr</v>
      </c>
      <c r="E95" t="str">
        <f t="shared" si="13"/>
        <v>Q2</v>
      </c>
      <c r="F95">
        <f t="shared" si="14"/>
        <v>2</v>
      </c>
      <c r="G95">
        <f t="shared" si="15"/>
        <v>2024</v>
      </c>
      <c r="H95" t="str">
        <f t="shared" si="16"/>
        <v>2024-Apr</v>
      </c>
      <c r="I95" t="str">
        <f t="shared" si="17"/>
        <v>Wed</v>
      </c>
      <c r="J95" t="str">
        <f t="shared" si="18"/>
        <v>Weekday</v>
      </c>
    </row>
    <row r="96" spans="1:10" x14ac:dyDescent="0.25">
      <c r="A96" s="1">
        <f t="shared" si="19"/>
        <v>45386</v>
      </c>
      <c r="B96">
        <f t="shared" si="10"/>
        <v>4</v>
      </c>
      <c r="C96">
        <f t="shared" si="11"/>
        <v>4</v>
      </c>
      <c r="D96" t="str">
        <f t="shared" si="12"/>
        <v>Apr</v>
      </c>
      <c r="E96" t="str">
        <f t="shared" si="13"/>
        <v>Q2</v>
      </c>
      <c r="F96">
        <f t="shared" si="14"/>
        <v>2</v>
      </c>
      <c r="G96">
        <f t="shared" si="15"/>
        <v>2024</v>
      </c>
      <c r="H96" t="str">
        <f t="shared" si="16"/>
        <v>2024-Apr</v>
      </c>
      <c r="I96" t="str">
        <f t="shared" si="17"/>
        <v>Thu</v>
      </c>
      <c r="J96" t="str">
        <f t="shared" si="18"/>
        <v>Weekday</v>
      </c>
    </row>
    <row r="97" spans="1:10" x14ac:dyDescent="0.25">
      <c r="A97" s="1">
        <f t="shared" si="19"/>
        <v>45387</v>
      </c>
      <c r="B97">
        <f t="shared" si="10"/>
        <v>5</v>
      </c>
      <c r="C97">
        <f t="shared" si="11"/>
        <v>4</v>
      </c>
      <c r="D97" t="str">
        <f t="shared" si="12"/>
        <v>Apr</v>
      </c>
      <c r="E97" t="str">
        <f t="shared" si="13"/>
        <v>Q2</v>
      </c>
      <c r="F97">
        <f t="shared" si="14"/>
        <v>2</v>
      </c>
      <c r="G97">
        <f t="shared" si="15"/>
        <v>2024</v>
      </c>
      <c r="H97" t="str">
        <f t="shared" si="16"/>
        <v>2024-Apr</v>
      </c>
      <c r="I97" t="str">
        <f t="shared" si="17"/>
        <v>Fri</v>
      </c>
      <c r="J97" t="str">
        <f t="shared" si="18"/>
        <v>Weekday</v>
      </c>
    </row>
    <row r="98" spans="1:10" x14ac:dyDescent="0.25">
      <c r="A98" s="1">
        <f t="shared" si="19"/>
        <v>45388</v>
      </c>
      <c r="B98">
        <f t="shared" si="10"/>
        <v>6</v>
      </c>
      <c r="C98">
        <f t="shared" si="11"/>
        <v>4</v>
      </c>
      <c r="D98" t="str">
        <f t="shared" si="12"/>
        <v>Apr</v>
      </c>
      <c r="E98" t="str">
        <f t="shared" si="13"/>
        <v>Q2</v>
      </c>
      <c r="F98">
        <f t="shared" si="14"/>
        <v>2</v>
      </c>
      <c r="G98">
        <f t="shared" si="15"/>
        <v>2024</v>
      </c>
      <c r="H98" t="str">
        <f t="shared" si="16"/>
        <v>2024-Apr</v>
      </c>
      <c r="I98" t="str">
        <f t="shared" si="17"/>
        <v>Sat</v>
      </c>
      <c r="J98" t="str">
        <f t="shared" si="18"/>
        <v>Weekend</v>
      </c>
    </row>
    <row r="99" spans="1:10" x14ac:dyDescent="0.25">
      <c r="A99" s="1">
        <f t="shared" si="19"/>
        <v>45389</v>
      </c>
      <c r="B99">
        <f t="shared" si="10"/>
        <v>7</v>
      </c>
      <c r="C99">
        <f t="shared" si="11"/>
        <v>4</v>
      </c>
      <c r="D99" t="str">
        <f t="shared" si="12"/>
        <v>Apr</v>
      </c>
      <c r="E99" t="str">
        <f t="shared" si="13"/>
        <v>Q2</v>
      </c>
      <c r="F99">
        <f t="shared" si="14"/>
        <v>2</v>
      </c>
      <c r="G99">
        <f t="shared" si="15"/>
        <v>2024</v>
      </c>
      <c r="H99" t="str">
        <f t="shared" si="16"/>
        <v>2024-Apr</v>
      </c>
      <c r="I99" t="str">
        <f t="shared" si="17"/>
        <v>Sun</v>
      </c>
      <c r="J99" t="str">
        <f t="shared" si="18"/>
        <v>Weekend</v>
      </c>
    </row>
    <row r="100" spans="1:10" x14ac:dyDescent="0.25">
      <c r="A100" s="1">
        <f t="shared" si="19"/>
        <v>45390</v>
      </c>
      <c r="B100">
        <f t="shared" si="10"/>
        <v>8</v>
      </c>
      <c r="C100">
        <f t="shared" si="11"/>
        <v>4</v>
      </c>
      <c r="D100" t="str">
        <f t="shared" si="12"/>
        <v>Apr</v>
      </c>
      <c r="E100" t="str">
        <f t="shared" si="13"/>
        <v>Q2</v>
      </c>
      <c r="F100">
        <f t="shared" si="14"/>
        <v>2</v>
      </c>
      <c r="G100">
        <f t="shared" si="15"/>
        <v>2024</v>
      </c>
      <c r="H100" t="str">
        <f t="shared" si="16"/>
        <v>2024-Apr</v>
      </c>
      <c r="I100" t="str">
        <f t="shared" si="17"/>
        <v>Mon</v>
      </c>
      <c r="J100" t="str">
        <f t="shared" si="18"/>
        <v>Weekday</v>
      </c>
    </row>
    <row r="101" spans="1:10" x14ac:dyDescent="0.25">
      <c r="A101" s="1">
        <f t="shared" si="19"/>
        <v>45391</v>
      </c>
      <c r="B101">
        <f t="shared" si="10"/>
        <v>9</v>
      </c>
      <c r="C101">
        <f t="shared" si="11"/>
        <v>4</v>
      </c>
      <c r="D101" t="str">
        <f t="shared" si="12"/>
        <v>Apr</v>
      </c>
      <c r="E101" t="str">
        <f t="shared" si="13"/>
        <v>Q2</v>
      </c>
      <c r="F101">
        <f t="shared" si="14"/>
        <v>2</v>
      </c>
      <c r="G101">
        <f t="shared" si="15"/>
        <v>2024</v>
      </c>
      <c r="H101" t="str">
        <f t="shared" si="16"/>
        <v>2024-Apr</v>
      </c>
      <c r="I101" t="str">
        <f t="shared" si="17"/>
        <v>Tue</v>
      </c>
      <c r="J101" t="str">
        <f t="shared" si="18"/>
        <v>Weekday</v>
      </c>
    </row>
    <row r="102" spans="1:10" x14ac:dyDescent="0.25">
      <c r="A102" s="1">
        <f t="shared" si="19"/>
        <v>45392</v>
      </c>
      <c r="B102">
        <f t="shared" si="10"/>
        <v>10</v>
      </c>
      <c r="C102">
        <f t="shared" si="11"/>
        <v>4</v>
      </c>
      <c r="D102" t="str">
        <f t="shared" si="12"/>
        <v>Apr</v>
      </c>
      <c r="E102" t="str">
        <f t="shared" si="13"/>
        <v>Q2</v>
      </c>
      <c r="F102">
        <f t="shared" si="14"/>
        <v>2</v>
      </c>
      <c r="G102">
        <f t="shared" si="15"/>
        <v>2024</v>
      </c>
      <c r="H102" t="str">
        <f t="shared" si="16"/>
        <v>2024-Apr</v>
      </c>
      <c r="I102" t="str">
        <f t="shared" si="17"/>
        <v>Wed</v>
      </c>
      <c r="J102" t="str">
        <f t="shared" si="18"/>
        <v>Weekday</v>
      </c>
    </row>
    <row r="103" spans="1:10" x14ac:dyDescent="0.25">
      <c r="A103" s="1">
        <f t="shared" si="19"/>
        <v>45393</v>
      </c>
      <c r="B103">
        <f t="shared" si="10"/>
        <v>11</v>
      </c>
      <c r="C103">
        <f t="shared" si="11"/>
        <v>4</v>
      </c>
      <c r="D103" t="str">
        <f t="shared" si="12"/>
        <v>Apr</v>
      </c>
      <c r="E103" t="str">
        <f t="shared" si="13"/>
        <v>Q2</v>
      </c>
      <c r="F103">
        <f t="shared" si="14"/>
        <v>2</v>
      </c>
      <c r="G103">
        <f t="shared" si="15"/>
        <v>2024</v>
      </c>
      <c r="H103" t="str">
        <f t="shared" si="16"/>
        <v>2024-Apr</v>
      </c>
      <c r="I103" t="str">
        <f t="shared" si="17"/>
        <v>Thu</v>
      </c>
      <c r="J103" t="str">
        <f t="shared" si="18"/>
        <v>Weekday</v>
      </c>
    </row>
    <row r="104" spans="1:10" x14ac:dyDescent="0.25">
      <c r="A104" s="1">
        <f t="shared" si="19"/>
        <v>45394</v>
      </c>
      <c r="B104">
        <f t="shared" si="10"/>
        <v>12</v>
      </c>
      <c r="C104">
        <f t="shared" si="11"/>
        <v>4</v>
      </c>
      <c r="D104" t="str">
        <f t="shared" si="12"/>
        <v>Apr</v>
      </c>
      <c r="E104" t="str">
        <f t="shared" si="13"/>
        <v>Q2</v>
      </c>
      <c r="F104">
        <f t="shared" si="14"/>
        <v>2</v>
      </c>
      <c r="G104">
        <f t="shared" si="15"/>
        <v>2024</v>
      </c>
      <c r="H104" t="str">
        <f t="shared" si="16"/>
        <v>2024-Apr</v>
      </c>
      <c r="I104" t="str">
        <f t="shared" si="17"/>
        <v>Fri</v>
      </c>
      <c r="J104" t="str">
        <f t="shared" si="18"/>
        <v>Weekday</v>
      </c>
    </row>
    <row r="105" spans="1:10" x14ac:dyDescent="0.25">
      <c r="A105" s="1">
        <f t="shared" si="19"/>
        <v>45395</v>
      </c>
      <c r="B105">
        <f t="shared" si="10"/>
        <v>13</v>
      </c>
      <c r="C105">
        <f t="shared" si="11"/>
        <v>4</v>
      </c>
      <c r="D105" t="str">
        <f t="shared" si="12"/>
        <v>Apr</v>
      </c>
      <c r="E105" t="str">
        <f t="shared" si="13"/>
        <v>Q2</v>
      </c>
      <c r="F105">
        <f t="shared" si="14"/>
        <v>2</v>
      </c>
      <c r="G105">
        <f t="shared" si="15"/>
        <v>2024</v>
      </c>
      <c r="H105" t="str">
        <f t="shared" si="16"/>
        <v>2024-Apr</v>
      </c>
      <c r="I105" t="str">
        <f t="shared" si="17"/>
        <v>Sat</v>
      </c>
      <c r="J105" t="str">
        <f t="shared" si="18"/>
        <v>Weekend</v>
      </c>
    </row>
    <row r="106" spans="1:10" x14ac:dyDescent="0.25">
      <c r="A106" s="1">
        <f t="shared" si="19"/>
        <v>45396</v>
      </c>
      <c r="B106">
        <f t="shared" si="10"/>
        <v>14</v>
      </c>
      <c r="C106">
        <f t="shared" si="11"/>
        <v>4</v>
      </c>
      <c r="D106" t="str">
        <f t="shared" si="12"/>
        <v>Apr</v>
      </c>
      <c r="E106" t="str">
        <f t="shared" si="13"/>
        <v>Q2</v>
      </c>
      <c r="F106">
        <f t="shared" si="14"/>
        <v>2</v>
      </c>
      <c r="G106">
        <f t="shared" si="15"/>
        <v>2024</v>
      </c>
      <c r="H106" t="str">
        <f t="shared" si="16"/>
        <v>2024-Apr</v>
      </c>
      <c r="I106" t="str">
        <f t="shared" si="17"/>
        <v>Sun</v>
      </c>
      <c r="J106" t="str">
        <f t="shared" si="18"/>
        <v>Weekend</v>
      </c>
    </row>
    <row r="107" spans="1:10" x14ac:dyDescent="0.25">
      <c r="A107" s="1">
        <f t="shared" si="19"/>
        <v>45397</v>
      </c>
      <c r="B107">
        <f t="shared" si="10"/>
        <v>15</v>
      </c>
      <c r="C107">
        <f t="shared" si="11"/>
        <v>4</v>
      </c>
      <c r="D107" t="str">
        <f t="shared" si="12"/>
        <v>Apr</v>
      </c>
      <c r="E107" t="str">
        <f t="shared" si="13"/>
        <v>Q2</v>
      </c>
      <c r="F107">
        <f t="shared" si="14"/>
        <v>2</v>
      </c>
      <c r="G107">
        <f t="shared" si="15"/>
        <v>2024</v>
      </c>
      <c r="H107" t="str">
        <f t="shared" si="16"/>
        <v>2024-Apr</v>
      </c>
      <c r="I107" t="str">
        <f t="shared" si="17"/>
        <v>Mon</v>
      </c>
      <c r="J107" t="str">
        <f t="shared" si="18"/>
        <v>Weekday</v>
      </c>
    </row>
    <row r="108" spans="1:10" x14ac:dyDescent="0.25">
      <c r="A108" s="1">
        <f t="shared" si="19"/>
        <v>45398</v>
      </c>
      <c r="B108">
        <f t="shared" si="10"/>
        <v>16</v>
      </c>
      <c r="C108">
        <f t="shared" si="11"/>
        <v>4</v>
      </c>
      <c r="D108" t="str">
        <f t="shared" si="12"/>
        <v>Apr</v>
      </c>
      <c r="E108" t="str">
        <f t="shared" si="13"/>
        <v>Q2</v>
      </c>
      <c r="F108">
        <f t="shared" si="14"/>
        <v>2</v>
      </c>
      <c r="G108">
        <f t="shared" si="15"/>
        <v>2024</v>
      </c>
      <c r="H108" t="str">
        <f t="shared" si="16"/>
        <v>2024-Apr</v>
      </c>
      <c r="I108" t="str">
        <f t="shared" si="17"/>
        <v>Tue</v>
      </c>
      <c r="J108" t="str">
        <f t="shared" si="18"/>
        <v>Weekday</v>
      </c>
    </row>
    <row r="109" spans="1:10" x14ac:dyDescent="0.25">
      <c r="A109" s="1">
        <f t="shared" si="19"/>
        <v>45399</v>
      </c>
      <c r="B109">
        <f t="shared" si="10"/>
        <v>17</v>
      </c>
      <c r="C109">
        <f t="shared" si="11"/>
        <v>4</v>
      </c>
      <c r="D109" t="str">
        <f t="shared" si="12"/>
        <v>Apr</v>
      </c>
      <c r="E109" t="str">
        <f t="shared" si="13"/>
        <v>Q2</v>
      </c>
      <c r="F109">
        <f t="shared" si="14"/>
        <v>2</v>
      </c>
      <c r="G109">
        <f t="shared" si="15"/>
        <v>2024</v>
      </c>
      <c r="H109" t="str">
        <f t="shared" si="16"/>
        <v>2024-Apr</v>
      </c>
      <c r="I109" t="str">
        <f t="shared" si="17"/>
        <v>Wed</v>
      </c>
      <c r="J109" t="str">
        <f t="shared" si="18"/>
        <v>Weekday</v>
      </c>
    </row>
    <row r="110" spans="1:10" x14ac:dyDescent="0.25">
      <c r="A110" s="1">
        <f t="shared" si="19"/>
        <v>45400</v>
      </c>
      <c r="B110">
        <f t="shared" si="10"/>
        <v>18</v>
      </c>
      <c r="C110">
        <f t="shared" si="11"/>
        <v>4</v>
      </c>
      <c r="D110" t="str">
        <f t="shared" si="12"/>
        <v>Apr</v>
      </c>
      <c r="E110" t="str">
        <f t="shared" si="13"/>
        <v>Q2</v>
      </c>
      <c r="F110">
        <f t="shared" si="14"/>
        <v>2</v>
      </c>
      <c r="G110">
        <f t="shared" si="15"/>
        <v>2024</v>
      </c>
      <c r="H110" t="str">
        <f t="shared" si="16"/>
        <v>2024-Apr</v>
      </c>
      <c r="I110" t="str">
        <f t="shared" si="17"/>
        <v>Thu</v>
      </c>
      <c r="J110" t="str">
        <f t="shared" si="18"/>
        <v>Weekday</v>
      </c>
    </row>
    <row r="111" spans="1:10" x14ac:dyDescent="0.25">
      <c r="A111" s="1">
        <f t="shared" si="19"/>
        <v>45401</v>
      </c>
      <c r="B111">
        <f t="shared" si="10"/>
        <v>19</v>
      </c>
      <c r="C111">
        <f t="shared" si="11"/>
        <v>4</v>
      </c>
      <c r="D111" t="str">
        <f t="shared" si="12"/>
        <v>Apr</v>
      </c>
      <c r="E111" t="str">
        <f t="shared" si="13"/>
        <v>Q2</v>
      </c>
      <c r="F111">
        <f t="shared" si="14"/>
        <v>2</v>
      </c>
      <c r="G111">
        <f t="shared" si="15"/>
        <v>2024</v>
      </c>
      <c r="H111" t="str">
        <f t="shared" si="16"/>
        <v>2024-Apr</v>
      </c>
      <c r="I111" t="str">
        <f t="shared" si="17"/>
        <v>Fri</v>
      </c>
      <c r="J111" t="str">
        <f t="shared" si="18"/>
        <v>Weekday</v>
      </c>
    </row>
    <row r="112" spans="1:10" x14ac:dyDescent="0.25">
      <c r="A112" s="1">
        <f t="shared" si="19"/>
        <v>45402</v>
      </c>
      <c r="B112">
        <f t="shared" si="10"/>
        <v>20</v>
      </c>
      <c r="C112">
        <f t="shared" si="11"/>
        <v>4</v>
      </c>
      <c r="D112" t="str">
        <f t="shared" si="12"/>
        <v>Apr</v>
      </c>
      <c r="E112" t="str">
        <f t="shared" si="13"/>
        <v>Q2</v>
      </c>
      <c r="F112">
        <f t="shared" si="14"/>
        <v>2</v>
      </c>
      <c r="G112">
        <f t="shared" si="15"/>
        <v>2024</v>
      </c>
      <c r="H112" t="str">
        <f t="shared" si="16"/>
        <v>2024-Apr</v>
      </c>
      <c r="I112" t="str">
        <f t="shared" si="17"/>
        <v>Sat</v>
      </c>
      <c r="J112" t="str">
        <f t="shared" si="18"/>
        <v>Weekend</v>
      </c>
    </row>
    <row r="113" spans="1:10" x14ac:dyDescent="0.25">
      <c r="A113" s="1">
        <f t="shared" si="19"/>
        <v>45403</v>
      </c>
      <c r="B113">
        <f t="shared" si="10"/>
        <v>21</v>
      </c>
      <c r="C113">
        <f t="shared" si="11"/>
        <v>4</v>
      </c>
      <c r="D113" t="str">
        <f t="shared" si="12"/>
        <v>Apr</v>
      </c>
      <c r="E113" t="str">
        <f t="shared" si="13"/>
        <v>Q2</v>
      </c>
      <c r="F113">
        <f t="shared" si="14"/>
        <v>2</v>
      </c>
      <c r="G113">
        <f t="shared" si="15"/>
        <v>2024</v>
      </c>
      <c r="H113" t="str">
        <f t="shared" si="16"/>
        <v>2024-Apr</v>
      </c>
      <c r="I113" t="str">
        <f t="shared" si="17"/>
        <v>Sun</v>
      </c>
      <c r="J113" t="str">
        <f t="shared" si="18"/>
        <v>Weekend</v>
      </c>
    </row>
    <row r="114" spans="1:10" x14ac:dyDescent="0.25">
      <c r="A114" s="1">
        <f t="shared" si="19"/>
        <v>45404</v>
      </c>
      <c r="B114">
        <f t="shared" si="10"/>
        <v>22</v>
      </c>
      <c r="C114">
        <f t="shared" si="11"/>
        <v>4</v>
      </c>
      <c r="D114" t="str">
        <f t="shared" si="12"/>
        <v>Apr</v>
      </c>
      <c r="E114" t="str">
        <f t="shared" si="13"/>
        <v>Q2</v>
      </c>
      <c r="F114">
        <f t="shared" si="14"/>
        <v>2</v>
      </c>
      <c r="G114">
        <f t="shared" si="15"/>
        <v>2024</v>
      </c>
      <c r="H114" t="str">
        <f t="shared" si="16"/>
        <v>2024-Apr</v>
      </c>
      <c r="I114" t="str">
        <f t="shared" si="17"/>
        <v>Mon</v>
      </c>
      <c r="J114" t="str">
        <f t="shared" si="18"/>
        <v>Weekday</v>
      </c>
    </row>
    <row r="115" spans="1:10" x14ac:dyDescent="0.25">
      <c r="A115" s="1">
        <f t="shared" si="19"/>
        <v>45405</v>
      </c>
      <c r="B115">
        <f t="shared" si="10"/>
        <v>23</v>
      </c>
      <c r="C115">
        <f t="shared" si="11"/>
        <v>4</v>
      </c>
      <c r="D115" t="str">
        <f t="shared" si="12"/>
        <v>Apr</v>
      </c>
      <c r="E115" t="str">
        <f t="shared" si="13"/>
        <v>Q2</v>
      </c>
      <c r="F115">
        <f t="shared" si="14"/>
        <v>2</v>
      </c>
      <c r="G115">
        <f t="shared" si="15"/>
        <v>2024</v>
      </c>
      <c r="H115" t="str">
        <f t="shared" si="16"/>
        <v>2024-Apr</v>
      </c>
      <c r="I115" t="str">
        <f t="shared" si="17"/>
        <v>Tue</v>
      </c>
      <c r="J115" t="str">
        <f t="shared" si="18"/>
        <v>Weekday</v>
      </c>
    </row>
    <row r="116" spans="1:10" x14ac:dyDescent="0.25">
      <c r="A116" s="1">
        <f t="shared" si="19"/>
        <v>45406</v>
      </c>
      <c r="B116">
        <f t="shared" si="10"/>
        <v>24</v>
      </c>
      <c r="C116">
        <f t="shared" si="11"/>
        <v>4</v>
      </c>
      <c r="D116" t="str">
        <f t="shared" si="12"/>
        <v>Apr</v>
      </c>
      <c r="E116" t="str">
        <f t="shared" si="13"/>
        <v>Q2</v>
      </c>
      <c r="F116">
        <f t="shared" si="14"/>
        <v>2</v>
      </c>
      <c r="G116">
        <f t="shared" si="15"/>
        <v>2024</v>
      </c>
      <c r="H116" t="str">
        <f t="shared" si="16"/>
        <v>2024-Apr</v>
      </c>
      <c r="I116" t="str">
        <f t="shared" si="17"/>
        <v>Wed</v>
      </c>
      <c r="J116" t="str">
        <f t="shared" si="18"/>
        <v>Weekday</v>
      </c>
    </row>
    <row r="117" spans="1:10" x14ac:dyDescent="0.25">
      <c r="A117" s="1">
        <f t="shared" si="19"/>
        <v>45407</v>
      </c>
      <c r="B117">
        <f t="shared" si="10"/>
        <v>25</v>
      </c>
      <c r="C117">
        <f t="shared" si="11"/>
        <v>4</v>
      </c>
      <c r="D117" t="str">
        <f t="shared" si="12"/>
        <v>Apr</v>
      </c>
      <c r="E117" t="str">
        <f t="shared" si="13"/>
        <v>Q2</v>
      </c>
      <c r="F117">
        <f t="shared" si="14"/>
        <v>2</v>
      </c>
      <c r="G117">
        <f t="shared" si="15"/>
        <v>2024</v>
      </c>
      <c r="H117" t="str">
        <f t="shared" si="16"/>
        <v>2024-Apr</v>
      </c>
      <c r="I117" t="str">
        <f t="shared" si="17"/>
        <v>Thu</v>
      </c>
      <c r="J117" t="str">
        <f t="shared" si="18"/>
        <v>Weekday</v>
      </c>
    </row>
    <row r="118" spans="1:10" x14ac:dyDescent="0.25">
      <c r="A118" s="1">
        <f t="shared" si="19"/>
        <v>45408</v>
      </c>
      <c r="B118">
        <f t="shared" si="10"/>
        <v>26</v>
      </c>
      <c r="C118">
        <f t="shared" si="11"/>
        <v>4</v>
      </c>
      <c r="D118" t="str">
        <f t="shared" si="12"/>
        <v>Apr</v>
      </c>
      <c r="E118" t="str">
        <f t="shared" si="13"/>
        <v>Q2</v>
      </c>
      <c r="F118">
        <f t="shared" si="14"/>
        <v>2</v>
      </c>
      <c r="G118">
        <f t="shared" si="15"/>
        <v>2024</v>
      </c>
      <c r="H118" t="str">
        <f t="shared" si="16"/>
        <v>2024-Apr</v>
      </c>
      <c r="I118" t="str">
        <f t="shared" si="17"/>
        <v>Fri</v>
      </c>
      <c r="J118" t="str">
        <f t="shared" si="18"/>
        <v>Weekday</v>
      </c>
    </row>
    <row r="119" spans="1:10" x14ac:dyDescent="0.25">
      <c r="A119" s="1">
        <f t="shared" si="19"/>
        <v>45409</v>
      </c>
      <c r="B119">
        <f t="shared" si="10"/>
        <v>27</v>
      </c>
      <c r="C119">
        <f t="shared" si="11"/>
        <v>4</v>
      </c>
      <c r="D119" t="str">
        <f t="shared" si="12"/>
        <v>Apr</v>
      </c>
      <c r="E119" t="str">
        <f t="shared" si="13"/>
        <v>Q2</v>
      </c>
      <c r="F119">
        <f t="shared" si="14"/>
        <v>2</v>
      </c>
      <c r="G119">
        <f t="shared" si="15"/>
        <v>2024</v>
      </c>
      <c r="H119" t="str">
        <f t="shared" si="16"/>
        <v>2024-Apr</v>
      </c>
      <c r="I119" t="str">
        <f t="shared" si="17"/>
        <v>Sat</v>
      </c>
      <c r="J119" t="str">
        <f t="shared" si="18"/>
        <v>Weekend</v>
      </c>
    </row>
    <row r="120" spans="1:10" x14ac:dyDescent="0.25">
      <c r="A120" s="1">
        <f t="shared" si="19"/>
        <v>45410</v>
      </c>
      <c r="B120">
        <f t="shared" si="10"/>
        <v>28</v>
      </c>
      <c r="C120">
        <f t="shared" si="11"/>
        <v>4</v>
      </c>
      <c r="D120" t="str">
        <f t="shared" si="12"/>
        <v>Apr</v>
      </c>
      <c r="E120" t="str">
        <f t="shared" si="13"/>
        <v>Q2</v>
      </c>
      <c r="F120">
        <f t="shared" si="14"/>
        <v>2</v>
      </c>
      <c r="G120">
        <f t="shared" si="15"/>
        <v>2024</v>
      </c>
      <c r="H120" t="str">
        <f t="shared" si="16"/>
        <v>2024-Apr</v>
      </c>
      <c r="I120" t="str">
        <f t="shared" si="17"/>
        <v>Sun</v>
      </c>
      <c r="J120" t="str">
        <f t="shared" si="18"/>
        <v>Weekend</v>
      </c>
    </row>
    <row r="121" spans="1:10" x14ac:dyDescent="0.25">
      <c r="A121" s="1">
        <f t="shared" si="19"/>
        <v>45411</v>
      </c>
      <c r="B121">
        <f t="shared" si="10"/>
        <v>29</v>
      </c>
      <c r="C121">
        <f t="shared" si="11"/>
        <v>4</v>
      </c>
      <c r="D121" t="str">
        <f t="shared" si="12"/>
        <v>Apr</v>
      </c>
      <c r="E121" t="str">
        <f t="shared" si="13"/>
        <v>Q2</v>
      </c>
      <c r="F121">
        <f t="shared" si="14"/>
        <v>2</v>
      </c>
      <c r="G121">
        <f t="shared" si="15"/>
        <v>2024</v>
      </c>
      <c r="H121" t="str">
        <f t="shared" si="16"/>
        <v>2024-Apr</v>
      </c>
      <c r="I121" t="str">
        <f t="shared" si="17"/>
        <v>Mon</v>
      </c>
      <c r="J121" t="str">
        <f t="shared" si="18"/>
        <v>Weekday</v>
      </c>
    </row>
    <row r="122" spans="1:10" x14ac:dyDescent="0.25">
      <c r="A122" s="1">
        <f t="shared" si="19"/>
        <v>45412</v>
      </c>
      <c r="B122">
        <f t="shared" si="10"/>
        <v>30</v>
      </c>
      <c r="C122">
        <f t="shared" si="11"/>
        <v>4</v>
      </c>
      <c r="D122" t="str">
        <f t="shared" si="12"/>
        <v>Apr</v>
      </c>
      <c r="E122" t="str">
        <f t="shared" si="13"/>
        <v>Q2</v>
      </c>
      <c r="F122">
        <f t="shared" si="14"/>
        <v>2</v>
      </c>
      <c r="G122">
        <f t="shared" si="15"/>
        <v>2024</v>
      </c>
      <c r="H122" t="str">
        <f t="shared" si="16"/>
        <v>2024-Apr</v>
      </c>
      <c r="I122" t="str">
        <f t="shared" si="17"/>
        <v>Tue</v>
      </c>
      <c r="J122" t="str">
        <f t="shared" si="18"/>
        <v>Weekday</v>
      </c>
    </row>
    <row r="123" spans="1:10" x14ac:dyDescent="0.25">
      <c r="A123" s="1">
        <f t="shared" si="19"/>
        <v>45413</v>
      </c>
      <c r="B123">
        <f t="shared" si="10"/>
        <v>1</v>
      </c>
      <c r="C123">
        <f t="shared" si="11"/>
        <v>5</v>
      </c>
      <c r="D123" t="str">
        <f t="shared" si="12"/>
        <v>May</v>
      </c>
      <c r="E123" t="str">
        <f t="shared" si="13"/>
        <v>Q2</v>
      </c>
      <c r="F123">
        <f t="shared" si="14"/>
        <v>2</v>
      </c>
      <c r="G123">
        <f t="shared" si="15"/>
        <v>2024</v>
      </c>
      <c r="H123" t="str">
        <f t="shared" si="16"/>
        <v>2024-May</v>
      </c>
      <c r="I123" t="str">
        <f t="shared" si="17"/>
        <v>Wed</v>
      </c>
      <c r="J123" t="str">
        <f t="shared" si="18"/>
        <v>Weekday</v>
      </c>
    </row>
    <row r="124" spans="1:10" x14ac:dyDescent="0.25">
      <c r="A124" s="1">
        <f t="shared" si="19"/>
        <v>45414</v>
      </c>
      <c r="B124">
        <f t="shared" si="10"/>
        <v>2</v>
      </c>
      <c r="C124">
        <f t="shared" si="11"/>
        <v>5</v>
      </c>
      <c r="D124" t="str">
        <f t="shared" si="12"/>
        <v>May</v>
      </c>
      <c r="E124" t="str">
        <f t="shared" si="13"/>
        <v>Q2</v>
      </c>
      <c r="F124">
        <f t="shared" si="14"/>
        <v>2</v>
      </c>
      <c r="G124">
        <f t="shared" si="15"/>
        <v>2024</v>
      </c>
      <c r="H124" t="str">
        <f t="shared" si="16"/>
        <v>2024-May</v>
      </c>
      <c r="I124" t="str">
        <f t="shared" si="17"/>
        <v>Thu</v>
      </c>
      <c r="J124" t="str">
        <f t="shared" si="18"/>
        <v>Weekday</v>
      </c>
    </row>
    <row r="125" spans="1:10" x14ac:dyDescent="0.25">
      <c r="A125" s="1">
        <f t="shared" si="19"/>
        <v>45415</v>
      </c>
      <c r="B125">
        <f t="shared" si="10"/>
        <v>3</v>
      </c>
      <c r="C125">
        <f t="shared" si="11"/>
        <v>5</v>
      </c>
      <c r="D125" t="str">
        <f t="shared" si="12"/>
        <v>May</v>
      </c>
      <c r="E125" t="str">
        <f t="shared" si="13"/>
        <v>Q2</v>
      </c>
      <c r="F125">
        <f t="shared" si="14"/>
        <v>2</v>
      </c>
      <c r="G125">
        <f t="shared" si="15"/>
        <v>2024</v>
      </c>
      <c r="H125" t="str">
        <f t="shared" si="16"/>
        <v>2024-May</v>
      </c>
      <c r="I125" t="str">
        <f t="shared" si="17"/>
        <v>Fri</v>
      </c>
      <c r="J125" t="str">
        <f t="shared" si="18"/>
        <v>Weekday</v>
      </c>
    </row>
    <row r="126" spans="1:10" x14ac:dyDescent="0.25">
      <c r="A126" s="1">
        <f t="shared" si="19"/>
        <v>45416</v>
      </c>
      <c r="B126">
        <f t="shared" si="10"/>
        <v>4</v>
      </c>
      <c r="C126">
        <f t="shared" si="11"/>
        <v>5</v>
      </c>
      <c r="D126" t="str">
        <f t="shared" si="12"/>
        <v>May</v>
      </c>
      <c r="E126" t="str">
        <f t="shared" si="13"/>
        <v>Q2</v>
      </c>
      <c r="F126">
        <f t="shared" si="14"/>
        <v>2</v>
      </c>
      <c r="G126">
        <f t="shared" si="15"/>
        <v>2024</v>
      </c>
      <c r="H126" t="str">
        <f t="shared" si="16"/>
        <v>2024-May</v>
      </c>
      <c r="I126" t="str">
        <f t="shared" si="17"/>
        <v>Sat</v>
      </c>
      <c r="J126" t="str">
        <f t="shared" si="18"/>
        <v>Weekend</v>
      </c>
    </row>
    <row r="127" spans="1:10" x14ac:dyDescent="0.25">
      <c r="A127" s="1">
        <f t="shared" si="19"/>
        <v>45417</v>
      </c>
      <c r="B127">
        <f t="shared" si="10"/>
        <v>5</v>
      </c>
      <c r="C127">
        <f t="shared" si="11"/>
        <v>5</v>
      </c>
      <c r="D127" t="str">
        <f t="shared" si="12"/>
        <v>May</v>
      </c>
      <c r="E127" t="str">
        <f t="shared" si="13"/>
        <v>Q2</v>
      </c>
      <c r="F127">
        <f t="shared" si="14"/>
        <v>2</v>
      </c>
      <c r="G127">
        <f t="shared" si="15"/>
        <v>2024</v>
      </c>
      <c r="H127" t="str">
        <f t="shared" si="16"/>
        <v>2024-May</v>
      </c>
      <c r="I127" t="str">
        <f t="shared" si="17"/>
        <v>Sun</v>
      </c>
      <c r="J127" t="str">
        <f t="shared" si="18"/>
        <v>Weekend</v>
      </c>
    </row>
    <row r="128" spans="1:10" x14ac:dyDescent="0.25">
      <c r="A128" s="1">
        <f t="shared" si="19"/>
        <v>45418</v>
      </c>
      <c r="B128">
        <f t="shared" si="10"/>
        <v>6</v>
      </c>
      <c r="C128">
        <f t="shared" si="11"/>
        <v>5</v>
      </c>
      <c r="D128" t="str">
        <f t="shared" si="12"/>
        <v>May</v>
      </c>
      <c r="E128" t="str">
        <f t="shared" si="13"/>
        <v>Q2</v>
      </c>
      <c r="F128">
        <f t="shared" si="14"/>
        <v>2</v>
      </c>
      <c r="G128">
        <f t="shared" si="15"/>
        <v>2024</v>
      </c>
      <c r="H128" t="str">
        <f t="shared" si="16"/>
        <v>2024-May</v>
      </c>
      <c r="I128" t="str">
        <f t="shared" si="17"/>
        <v>Mon</v>
      </c>
      <c r="J128" t="str">
        <f t="shared" si="18"/>
        <v>Weekday</v>
      </c>
    </row>
    <row r="129" spans="1:10" x14ac:dyDescent="0.25">
      <c r="A129" s="1">
        <f t="shared" si="19"/>
        <v>45419</v>
      </c>
      <c r="B129">
        <f t="shared" si="10"/>
        <v>7</v>
      </c>
      <c r="C129">
        <f t="shared" si="11"/>
        <v>5</v>
      </c>
      <c r="D129" t="str">
        <f t="shared" si="12"/>
        <v>May</v>
      </c>
      <c r="E129" t="str">
        <f t="shared" si="13"/>
        <v>Q2</v>
      </c>
      <c r="F129">
        <f t="shared" si="14"/>
        <v>2</v>
      </c>
      <c r="G129">
        <f t="shared" si="15"/>
        <v>2024</v>
      </c>
      <c r="H129" t="str">
        <f t="shared" si="16"/>
        <v>2024-May</v>
      </c>
      <c r="I129" t="str">
        <f t="shared" si="17"/>
        <v>Tue</v>
      </c>
      <c r="J129" t="str">
        <f t="shared" si="18"/>
        <v>Weekday</v>
      </c>
    </row>
    <row r="130" spans="1:10" x14ac:dyDescent="0.25">
      <c r="A130" s="1">
        <f t="shared" si="19"/>
        <v>45420</v>
      </c>
      <c r="B130">
        <f t="shared" si="10"/>
        <v>8</v>
      </c>
      <c r="C130">
        <f t="shared" si="11"/>
        <v>5</v>
      </c>
      <c r="D130" t="str">
        <f t="shared" si="12"/>
        <v>May</v>
      </c>
      <c r="E130" t="str">
        <f t="shared" si="13"/>
        <v>Q2</v>
      </c>
      <c r="F130">
        <f t="shared" si="14"/>
        <v>2</v>
      </c>
      <c r="G130">
        <f t="shared" si="15"/>
        <v>2024</v>
      </c>
      <c r="H130" t="str">
        <f t="shared" si="16"/>
        <v>2024-May</v>
      </c>
      <c r="I130" t="str">
        <f t="shared" si="17"/>
        <v>Wed</v>
      </c>
      <c r="J130" t="str">
        <f t="shared" si="18"/>
        <v>Weekday</v>
      </c>
    </row>
    <row r="131" spans="1:10" x14ac:dyDescent="0.25">
      <c r="A131" s="1">
        <f t="shared" si="19"/>
        <v>45421</v>
      </c>
      <c r="B131">
        <f t="shared" ref="B131:B194" si="20">DAY(A131)</f>
        <v>9</v>
      </c>
      <c r="C131">
        <f t="shared" ref="C131:C194" si="21">MONTH(A131)</f>
        <v>5</v>
      </c>
      <c r="D131" t="str">
        <f t="shared" ref="D131:D194" si="22">TEXT(A131,"MMM")</f>
        <v>May</v>
      </c>
      <c r="E131" t="str">
        <f t="shared" ref="E131:E194" si="23">"Q"&amp;ROUNDUP(MONTH(A131)/3,0)</f>
        <v>Q2</v>
      </c>
      <c r="F131">
        <f t="shared" ref="F131:F194" si="24">ROUNDUP(MONTH(A131)/3,0)</f>
        <v>2</v>
      </c>
      <c r="G131">
        <f t="shared" ref="G131:G194" si="25">YEAR(A131)</f>
        <v>2024</v>
      </c>
      <c r="H131" t="str">
        <f t="shared" ref="H131:H194" si="26">TEXT(A131,"YYYY-MMM")</f>
        <v>2024-May</v>
      </c>
      <c r="I131" t="str">
        <f t="shared" ref="I131:I194" si="27">TEXT(A131,"DDD")</f>
        <v>Thu</v>
      </c>
      <c r="J131" t="str">
        <f t="shared" ref="J131:J194" si="28">IF(WEEKDAY(A131,2)&gt;=6,"Weekend","Weekday")</f>
        <v>Weekday</v>
      </c>
    </row>
    <row r="132" spans="1:10" x14ac:dyDescent="0.25">
      <c r="A132" s="1">
        <f t="shared" ref="A132:A195" si="29">A131+1</f>
        <v>45422</v>
      </c>
      <c r="B132">
        <f t="shared" si="20"/>
        <v>10</v>
      </c>
      <c r="C132">
        <f t="shared" si="21"/>
        <v>5</v>
      </c>
      <c r="D132" t="str">
        <f t="shared" si="22"/>
        <v>May</v>
      </c>
      <c r="E132" t="str">
        <f t="shared" si="23"/>
        <v>Q2</v>
      </c>
      <c r="F132">
        <f t="shared" si="24"/>
        <v>2</v>
      </c>
      <c r="G132">
        <f t="shared" si="25"/>
        <v>2024</v>
      </c>
      <c r="H132" t="str">
        <f t="shared" si="26"/>
        <v>2024-May</v>
      </c>
      <c r="I132" t="str">
        <f t="shared" si="27"/>
        <v>Fri</v>
      </c>
      <c r="J132" t="str">
        <f t="shared" si="28"/>
        <v>Weekday</v>
      </c>
    </row>
    <row r="133" spans="1:10" x14ac:dyDescent="0.25">
      <c r="A133" s="1">
        <f t="shared" si="29"/>
        <v>45423</v>
      </c>
      <c r="B133">
        <f t="shared" si="20"/>
        <v>11</v>
      </c>
      <c r="C133">
        <f t="shared" si="21"/>
        <v>5</v>
      </c>
      <c r="D133" t="str">
        <f t="shared" si="22"/>
        <v>May</v>
      </c>
      <c r="E133" t="str">
        <f t="shared" si="23"/>
        <v>Q2</v>
      </c>
      <c r="F133">
        <f t="shared" si="24"/>
        <v>2</v>
      </c>
      <c r="G133">
        <f t="shared" si="25"/>
        <v>2024</v>
      </c>
      <c r="H133" t="str">
        <f t="shared" si="26"/>
        <v>2024-May</v>
      </c>
      <c r="I133" t="str">
        <f t="shared" si="27"/>
        <v>Sat</v>
      </c>
      <c r="J133" t="str">
        <f t="shared" si="28"/>
        <v>Weekend</v>
      </c>
    </row>
    <row r="134" spans="1:10" x14ac:dyDescent="0.25">
      <c r="A134" s="1">
        <f t="shared" si="29"/>
        <v>45424</v>
      </c>
      <c r="B134">
        <f t="shared" si="20"/>
        <v>12</v>
      </c>
      <c r="C134">
        <f t="shared" si="21"/>
        <v>5</v>
      </c>
      <c r="D134" t="str">
        <f t="shared" si="22"/>
        <v>May</v>
      </c>
      <c r="E134" t="str">
        <f t="shared" si="23"/>
        <v>Q2</v>
      </c>
      <c r="F134">
        <f t="shared" si="24"/>
        <v>2</v>
      </c>
      <c r="G134">
        <f t="shared" si="25"/>
        <v>2024</v>
      </c>
      <c r="H134" t="str">
        <f t="shared" si="26"/>
        <v>2024-May</v>
      </c>
      <c r="I134" t="str">
        <f t="shared" si="27"/>
        <v>Sun</v>
      </c>
      <c r="J134" t="str">
        <f t="shared" si="28"/>
        <v>Weekend</v>
      </c>
    </row>
    <row r="135" spans="1:10" x14ac:dyDescent="0.25">
      <c r="A135" s="1">
        <f t="shared" si="29"/>
        <v>45425</v>
      </c>
      <c r="B135">
        <f t="shared" si="20"/>
        <v>13</v>
      </c>
      <c r="C135">
        <f t="shared" si="21"/>
        <v>5</v>
      </c>
      <c r="D135" t="str">
        <f t="shared" si="22"/>
        <v>May</v>
      </c>
      <c r="E135" t="str">
        <f t="shared" si="23"/>
        <v>Q2</v>
      </c>
      <c r="F135">
        <f t="shared" si="24"/>
        <v>2</v>
      </c>
      <c r="G135">
        <f t="shared" si="25"/>
        <v>2024</v>
      </c>
      <c r="H135" t="str">
        <f t="shared" si="26"/>
        <v>2024-May</v>
      </c>
      <c r="I135" t="str">
        <f t="shared" si="27"/>
        <v>Mon</v>
      </c>
      <c r="J135" t="str">
        <f t="shared" si="28"/>
        <v>Weekday</v>
      </c>
    </row>
    <row r="136" spans="1:10" x14ac:dyDescent="0.25">
      <c r="A136" s="1">
        <f t="shared" si="29"/>
        <v>45426</v>
      </c>
      <c r="B136">
        <f t="shared" si="20"/>
        <v>14</v>
      </c>
      <c r="C136">
        <f t="shared" si="21"/>
        <v>5</v>
      </c>
      <c r="D136" t="str">
        <f t="shared" si="22"/>
        <v>May</v>
      </c>
      <c r="E136" t="str">
        <f t="shared" si="23"/>
        <v>Q2</v>
      </c>
      <c r="F136">
        <f t="shared" si="24"/>
        <v>2</v>
      </c>
      <c r="G136">
        <f t="shared" si="25"/>
        <v>2024</v>
      </c>
      <c r="H136" t="str">
        <f t="shared" si="26"/>
        <v>2024-May</v>
      </c>
      <c r="I136" t="str">
        <f t="shared" si="27"/>
        <v>Tue</v>
      </c>
      <c r="J136" t="str">
        <f t="shared" si="28"/>
        <v>Weekday</v>
      </c>
    </row>
    <row r="137" spans="1:10" x14ac:dyDescent="0.25">
      <c r="A137" s="1">
        <f t="shared" si="29"/>
        <v>45427</v>
      </c>
      <c r="B137">
        <f t="shared" si="20"/>
        <v>15</v>
      </c>
      <c r="C137">
        <f t="shared" si="21"/>
        <v>5</v>
      </c>
      <c r="D137" t="str">
        <f t="shared" si="22"/>
        <v>May</v>
      </c>
      <c r="E137" t="str">
        <f t="shared" si="23"/>
        <v>Q2</v>
      </c>
      <c r="F137">
        <f t="shared" si="24"/>
        <v>2</v>
      </c>
      <c r="G137">
        <f t="shared" si="25"/>
        <v>2024</v>
      </c>
      <c r="H137" t="str">
        <f t="shared" si="26"/>
        <v>2024-May</v>
      </c>
      <c r="I137" t="str">
        <f t="shared" si="27"/>
        <v>Wed</v>
      </c>
      <c r="J137" t="str">
        <f t="shared" si="28"/>
        <v>Weekday</v>
      </c>
    </row>
    <row r="138" spans="1:10" x14ac:dyDescent="0.25">
      <c r="A138" s="1">
        <f t="shared" si="29"/>
        <v>45428</v>
      </c>
      <c r="B138">
        <f t="shared" si="20"/>
        <v>16</v>
      </c>
      <c r="C138">
        <f t="shared" si="21"/>
        <v>5</v>
      </c>
      <c r="D138" t="str">
        <f t="shared" si="22"/>
        <v>May</v>
      </c>
      <c r="E138" t="str">
        <f t="shared" si="23"/>
        <v>Q2</v>
      </c>
      <c r="F138">
        <f t="shared" si="24"/>
        <v>2</v>
      </c>
      <c r="G138">
        <f t="shared" si="25"/>
        <v>2024</v>
      </c>
      <c r="H138" t="str">
        <f t="shared" si="26"/>
        <v>2024-May</v>
      </c>
      <c r="I138" t="str">
        <f t="shared" si="27"/>
        <v>Thu</v>
      </c>
      <c r="J138" t="str">
        <f t="shared" si="28"/>
        <v>Weekday</v>
      </c>
    </row>
    <row r="139" spans="1:10" x14ac:dyDescent="0.25">
      <c r="A139" s="1">
        <f t="shared" si="29"/>
        <v>45429</v>
      </c>
      <c r="B139">
        <f t="shared" si="20"/>
        <v>17</v>
      </c>
      <c r="C139">
        <f t="shared" si="21"/>
        <v>5</v>
      </c>
      <c r="D139" t="str">
        <f t="shared" si="22"/>
        <v>May</v>
      </c>
      <c r="E139" t="str">
        <f t="shared" si="23"/>
        <v>Q2</v>
      </c>
      <c r="F139">
        <f t="shared" si="24"/>
        <v>2</v>
      </c>
      <c r="G139">
        <f t="shared" si="25"/>
        <v>2024</v>
      </c>
      <c r="H139" t="str">
        <f t="shared" si="26"/>
        <v>2024-May</v>
      </c>
      <c r="I139" t="str">
        <f t="shared" si="27"/>
        <v>Fri</v>
      </c>
      <c r="J139" t="str">
        <f t="shared" si="28"/>
        <v>Weekday</v>
      </c>
    </row>
    <row r="140" spans="1:10" x14ac:dyDescent="0.25">
      <c r="A140" s="1">
        <f t="shared" si="29"/>
        <v>45430</v>
      </c>
      <c r="B140">
        <f t="shared" si="20"/>
        <v>18</v>
      </c>
      <c r="C140">
        <f t="shared" si="21"/>
        <v>5</v>
      </c>
      <c r="D140" t="str">
        <f t="shared" si="22"/>
        <v>May</v>
      </c>
      <c r="E140" t="str">
        <f t="shared" si="23"/>
        <v>Q2</v>
      </c>
      <c r="F140">
        <f t="shared" si="24"/>
        <v>2</v>
      </c>
      <c r="G140">
        <f t="shared" si="25"/>
        <v>2024</v>
      </c>
      <c r="H140" t="str">
        <f t="shared" si="26"/>
        <v>2024-May</v>
      </c>
      <c r="I140" t="str">
        <f t="shared" si="27"/>
        <v>Sat</v>
      </c>
      <c r="J140" t="str">
        <f t="shared" si="28"/>
        <v>Weekend</v>
      </c>
    </row>
    <row r="141" spans="1:10" x14ac:dyDescent="0.25">
      <c r="A141" s="1">
        <f t="shared" si="29"/>
        <v>45431</v>
      </c>
      <c r="B141">
        <f t="shared" si="20"/>
        <v>19</v>
      </c>
      <c r="C141">
        <f t="shared" si="21"/>
        <v>5</v>
      </c>
      <c r="D141" t="str">
        <f t="shared" si="22"/>
        <v>May</v>
      </c>
      <c r="E141" t="str">
        <f t="shared" si="23"/>
        <v>Q2</v>
      </c>
      <c r="F141">
        <f t="shared" si="24"/>
        <v>2</v>
      </c>
      <c r="G141">
        <f t="shared" si="25"/>
        <v>2024</v>
      </c>
      <c r="H141" t="str">
        <f t="shared" si="26"/>
        <v>2024-May</v>
      </c>
      <c r="I141" t="str">
        <f t="shared" si="27"/>
        <v>Sun</v>
      </c>
      <c r="J141" t="str">
        <f t="shared" si="28"/>
        <v>Weekend</v>
      </c>
    </row>
    <row r="142" spans="1:10" x14ac:dyDescent="0.25">
      <c r="A142" s="1">
        <f t="shared" si="29"/>
        <v>45432</v>
      </c>
      <c r="B142">
        <f t="shared" si="20"/>
        <v>20</v>
      </c>
      <c r="C142">
        <f t="shared" si="21"/>
        <v>5</v>
      </c>
      <c r="D142" t="str">
        <f t="shared" si="22"/>
        <v>May</v>
      </c>
      <c r="E142" t="str">
        <f t="shared" si="23"/>
        <v>Q2</v>
      </c>
      <c r="F142">
        <f t="shared" si="24"/>
        <v>2</v>
      </c>
      <c r="G142">
        <f t="shared" si="25"/>
        <v>2024</v>
      </c>
      <c r="H142" t="str">
        <f t="shared" si="26"/>
        <v>2024-May</v>
      </c>
      <c r="I142" t="str">
        <f t="shared" si="27"/>
        <v>Mon</v>
      </c>
      <c r="J142" t="str">
        <f t="shared" si="28"/>
        <v>Weekday</v>
      </c>
    </row>
    <row r="143" spans="1:10" x14ac:dyDescent="0.25">
      <c r="A143" s="1">
        <f t="shared" si="29"/>
        <v>45433</v>
      </c>
      <c r="B143">
        <f t="shared" si="20"/>
        <v>21</v>
      </c>
      <c r="C143">
        <f t="shared" si="21"/>
        <v>5</v>
      </c>
      <c r="D143" t="str">
        <f t="shared" si="22"/>
        <v>May</v>
      </c>
      <c r="E143" t="str">
        <f t="shared" si="23"/>
        <v>Q2</v>
      </c>
      <c r="F143">
        <f t="shared" si="24"/>
        <v>2</v>
      </c>
      <c r="G143">
        <f t="shared" si="25"/>
        <v>2024</v>
      </c>
      <c r="H143" t="str">
        <f t="shared" si="26"/>
        <v>2024-May</v>
      </c>
      <c r="I143" t="str">
        <f t="shared" si="27"/>
        <v>Tue</v>
      </c>
      <c r="J143" t="str">
        <f t="shared" si="28"/>
        <v>Weekday</v>
      </c>
    </row>
    <row r="144" spans="1:10" x14ac:dyDescent="0.25">
      <c r="A144" s="1">
        <f t="shared" si="29"/>
        <v>45434</v>
      </c>
      <c r="B144">
        <f t="shared" si="20"/>
        <v>22</v>
      </c>
      <c r="C144">
        <f t="shared" si="21"/>
        <v>5</v>
      </c>
      <c r="D144" t="str">
        <f t="shared" si="22"/>
        <v>May</v>
      </c>
      <c r="E144" t="str">
        <f t="shared" si="23"/>
        <v>Q2</v>
      </c>
      <c r="F144">
        <f t="shared" si="24"/>
        <v>2</v>
      </c>
      <c r="G144">
        <f t="shared" si="25"/>
        <v>2024</v>
      </c>
      <c r="H144" t="str">
        <f t="shared" si="26"/>
        <v>2024-May</v>
      </c>
      <c r="I144" t="str">
        <f t="shared" si="27"/>
        <v>Wed</v>
      </c>
      <c r="J144" t="str">
        <f t="shared" si="28"/>
        <v>Weekday</v>
      </c>
    </row>
    <row r="145" spans="1:10" x14ac:dyDescent="0.25">
      <c r="A145" s="1">
        <f t="shared" si="29"/>
        <v>45435</v>
      </c>
      <c r="B145">
        <f t="shared" si="20"/>
        <v>23</v>
      </c>
      <c r="C145">
        <f t="shared" si="21"/>
        <v>5</v>
      </c>
      <c r="D145" t="str">
        <f t="shared" si="22"/>
        <v>May</v>
      </c>
      <c r="E145" t="str">
        <f t="shared" si="23"/>
        <v>Q2</v>
      </c>
      <c r="F145">
        <f t="shared" si="24"/>
        <v>2</v>
      </c>
      <c r="G145">
        <f t="shared" si="25"/>
        <v>2024</v>
      </c>
      <c r="H145" t="str">
        <f t="shared" si="26"/>
        <v>2024-May</v>
      </c>
      <c r="I145" t="str">
        <f t="shared" si="27"/>
        <v>Thu</v>
      </c>
      <c r="J145" t="str">
        <f t="shared" si="28"/>
        <v>Weekday</v>
      </c>
    </row>
    <row r="146" spans="1:10" x14ac:dyDescent="0.25">
      <c r="A146" s="1">
        <f t="shared" si="29"/>
        <v>45436</v>
      </c>
      <c r="B146">
        <f t="shared" si="20"/>
        <v>24</v>
      </c>
      <c r="C146">
        <f t="shared" si="21"/>
        <v>5</v>
      </c>
      <c r="D146" t="str">
        <f t="shared" si="22"/>
        <v>May</v>
      </c>
      <c r="E146" t="str">
        <f t="shared" si="23"/>
        <v>Q2</v>
      </c>
      <c r="F146">
        <f t="shared" si="24"/>
        <v>2</v>
      </c>
      <c r="G146">
        <f t="shared" si="25"/>
        <v>2024</v>
      </c>
      <c r="H146" t="str">
        <f t="shared" si="26"/>
        <v>2024-May</v>
      </c>
      <c r="I146" t="str">
        <f t="shared" si="27"/>
        <v>Fri</v>
      </c>
      <c r="J146" t="str">
        <f t="shared" si="28"/>
        <v>Weekday</v>
      </c>
    </row>
    <row r="147" spans="1:10" x14ac:dyDescent="0.25">
      <c r="A147" s="1">
        <f t="shared" si="29"/>
        <v>45437</v>
      </c>
      <c r="B147">
        <f t="shared" si="20"/>
        <v>25</v>
      </c>
      <c r="C147">
        <f t="shared" si="21"/>
        <v>5</v>
      </c>
      <c r="D147" t="str">
        <f t="shared" si="22"/>
        <v>May</v>
      </c>
      <c r="E147" t="str">
        <f t="shared" si="23"/>
        <v>Q2</v>
      </c>
      <c r="F147">
        <f t="shared" si="24"/>
        <v>2</v>
      </c>
      <c r="G147">
        <f t="shared" si="25"/>
        <v>2024</v>
      </c>
      <c r="H147" t="str">
        <f t="shared" si="26"/>
        <v>2024-May</v>
      </c>
      <c r="I147" t="str">
        <f t="shared" si="27"/>
        <v>Sat</v>
      </c>
      <c r="J147" t="str">
        <f t="shared" si="28"/>
        <v>Weekend</v>
      </c>
    </row>
    <row r="148" spans="1:10" x14ac:dyDescent="0.25">
      <c r="A148" s="1">
        <f t="shared" si="29"/>
        <v>45438</v>
      </c>
      <c r="B148">
        <f t="shared" si="20"/>
        <v>26</v>
      </c>
      <c r="C148">
        <f t="shared" si="21"/>
        <v>5</v>
      </c>
      <c r="D148" t="str">
        <f t="shared" si="22"/>
        <v>May</v>
      </c>
      <c r="E148" t="str">
        <f t="shared" si="23"/>
        <v>Q2</v>
      </c>
      <c r="F148">
        <f t="shared" si="24"/>
        <v>2</v>
      </c>
      <c r="G148">
        <f t="shared" si="25"/>
        <v>2024</v>
      </c>
      <c r="H148" t="str">
        <f t="shared" si="26"/>
        <v>2024-May</v>
      </c>
      <c r="I148" t="str">
        <f t="shared" si="27"/>
        <v>Sun</v>
      </c>
      <c r="J148" t="str">
        <f t="shared" si="28"/>
        <v>Weekend</v>
      </c>
    </row>
    <row r="149" spans="1:10" x14ac:dyDescent="0.25">
      <c r="A149" s="1">
        <f t="shared" si="29"/>
        <v>45439</v>
      </c>
      <c r="B149">
        <f t="shared" si="20"/>
        <v>27</v>
      </c>
      <c r="C149">
        <f t="shared" si="21"/>
        <v>5</v>
      </c>
      <c r="D149" t="str">
        <f t="shared" si="22"/>
        <v>May</v>
      </c>
      <c r="E149" t="str">
        <f t="shared" si="23"/>
        <v>Q2</v>
      </c>
      <c r="F149">
        <f t="shared" si="24"/>
        <v>2</v>
      </c>
      <c r="G149">
        <f t="shared" si="25"/>
        <v>2024</v>
      </c>
      <c r="H149" t="str">
        <f t="shared" si="26"/>
        <v>2024-May</v>
      </c>
      <c r="I149" t="str">
        <f t="shared" si="27"/>
        <v>Mon</v>
      </c>
      <c r="J149" t="str">
        <f t="shared" si="28"/>
        <v>Weekday</v>
      </c>
    </row>
    <row r="150" spans="1:10" x14ac:dyDescent="0.25">
      <c r="A150" s="1">
        <f t="shared" si="29"/>
        <v>45440</v>
      </c>
      <c r="B150">
        <f t="shared" si="20"/>
        <v>28</v>
      </c>
      <c r="C150">
        <f t="shared" si="21"/>
        <v>5</v>
      </c>
      <c r="D150" t="str">
        <f t="shared" si="22"/>
        <v>May</v>
      </c>
      <c r="E150" t="str">
        <f t="shared" si="23"/>
        <v>Q2</v>
      </c>
      <c r="F150">
        <f t="shared" si="24"/>
        <v>2</v>
      </c>
      <c r="G150">
        <f t="shared" si="25"/>
        <v>2024</v>
      </c>
      <c r="H150" t="str">
        <f t="shared" si="26"/>
        <v>2024-May</v>
      </c>
      <c r="I150" t="str">
        <f t="shared" si="27"/>
        <v>Tue</v>
      </c>
      <c r="J150" t="str">
        <f t="shared" si="28"/>
        <v>Weekday</v>
      </c>
    </row>
    <row r="151" spans="1:10" x14ac:dyDescent="0.25">
      <c r="A151" s="1">
        <f t="shared" si="29"/>
        <v>45441</v>
      </c>
      <c r="B151">
        <f t="shared" si="20"/>
        <v>29</v>
      </c>
      <c r="C151">
        <f t="shared" si="21"/>
        <v>5</v>
      </c>
      <c r="D151" t="str">
        <f t="shared" si="22"/>
        <v>May</v>
      </c>
      <c r="E151" t="str">
        <f t="shared" si="23"/>
        <v>Q2</v>
      </c>
      <c r="F151">
        <f t="shared" si="24"/>
        <v>2</v>
      </c>
      <c r="G151">
        <f t="shared" si="25"/>
        <v>2024</v>
      </c>
      <c r="H151" t="str">
        <f t="shared" si="26"/>
        <v>2024-May</v>
      </c>
      <c r="I151" t="str">
        <f t="shared" si="27"/>
        <v>Wed</v>
      </c>
      <c r="J151" t="str">
        <f t="shared" si="28"/>
        <v>Weekday</v>
      </c>
    </row>
    <row r="152" spans="1:10" x14ac:dyDescent="0.25">
      <c r="A152" s="1">
        <f t="shared" si="29"/>
        <v>45442</v>
      </c>
      <c r="B152">
        <f t="shared" si="20"/>
        <v>30</v>
      </c>
      <c r="C152">
        <f t="shared" si="21"/>
        <v>5</v>
      </c>
      <c r="D152" t="str">
        <f t="shared" si="22"/>
        <v>May</v>
      </c>
      <c r="E152" t="str">
        <f t="shared" si="23"/>
        <v>Q2</v>
      </c>
      <c r="F152">
        <f t="shared" si="24"/>
        <v>2</v>
      </c>
      <c r="G152">
        <f t="shared" si="25"/>
        <v>2024</v>
      </c>
      <c r="H152" t="str">
        <f t="shared" si="26"/>
        <v>2024-May</v>
      </c>
      <c r="I152" t="str">
        <f t="shared" si="27"/>
        <v>Thu</v>
      </c>
      <c r="J152" t="str">
        <f t="shared" si="28"/>
        <v>Weekday</v>
      </c>
    </row>
    <row r="153" spans="1:10" x14ac:dyDescent="0.25">
      <c r="A153" s="1">
        <f t="shared" si="29"/>
        <v>45443</v>
      </c>
      <c r="B153">
        <f t="shared" si="20"/>
        <v>31</v>
      </c>
      <c r="C153">
        <f t="shared" si="21"/>
        <v>5</v>
      </c>
      <c r="D153" t="str">
        <f t="shared" si="22"/>
        <v>May</v>
      </c>
      <c r="E153" t="str">
        <f t="shared" si="23"/>
        <v>Q2</v>
      </c>
      <c r="F153">
        <f t="shared" si="24"/>
        <v>2</v>
      </c>
      <c r="G153">
        <f t="shared" si="25"/>
        <v>2024</v>
      </c>
      <c r="H153" t="str">
        <f t="shared" si="26"/>
        <v>2024-May</v>
      </c>
      <c r="I153" t="str">
        <f t="shared" si="27"/>
        <v>Fri</v>
      </c>
      <c r="J153" t="str">
        <f t="shared" si="28"/>
        <v>Weekday</v>
      </c>
    </row>
    <row r="154" spans="1:10" x14ac:dyDescent="0.25">
      <c r="A154" s="1">
        <f t="shared" si="29"/>
        <v>45444</v>
      </c>
      <c r="B154">
        <f t="shared" si="20"/>
        <v>1</v>
      </c>
      <c r="C154">
        <f t="shared" si="21"/>
        <v>6</v>
      </c>
      <c r="D154" t="str">
        <f t="shared" si="22"/>
        <v>Jun</v>
      </c>
      <c r="E154" t="str">
        <f t="shared" si="23"/>
        <v>Q2</v>
      </c>
      <c r="F154">
        <f t="shared" si="24"/>
        <v>2</v>
      </c>
      <c r="G154">
        <f t="shared" si="25"/>
        <v>2024</v>
      </c>
      <c r="H154" t="str">
        <f t="shared" si="26"/>
        <v>2024-Jun</v>
      </c>
      <c r="I154" t="str">
        <f t="shared" si="27"/>
        <v>Sat</v>
      </c>
      <c r="J154" t="str">
        <f t="shared" si="28"/>
        <v>Weekend</v>
      </c>
    </row>
    <row r="155" spans="1:10" x14ac:dyDescent="0.25">
      <c r="A155" s="1">
        <f t="shared" si="29"/>
        <v>45445</v>
      </c>
      <c r="B155">
        <f t="shared" si="20"/>
        <v>2</v>
      </c>
      <c r="C155">
        <f t="shared" si="21"/>
        <v>6</v>
      </c>
      <c r="D155" t="str">
        <f t="shared" si="22"/>
        <v>Jun</v>
      </c>
      <c r="E155" t="str">
        <f t="shared" si="23"/>
        <v>Q2</v>
      </c>
      <c r="F155">
        <f t="shared" si="24"/>
        <v>2</v>
      </c>
      <c r="G155">
        <f t="shared" si="25"/>
        <v>2024</v>
      </c>
      <c r="H155" t="str">
        <f t="shared" si="26"/>
        <v>2024-Jun</v>
      </c>
      <c r="I155" t="str">
        <f t="shared" si="27"/>
        <v>Sun</v>
      </c>
      <c r="J155" t="str">
        <f t="shared" si="28"/>
        <v>Weekend</v>
      </c>
    </row>
    <row r="156" spans="1:10" x14ac:dyDescent="0.25">
      <c r="A156" s="1">
        <f t="shared" si="29"/>
        <v>45446</v>
      </c>
      <c r="B156">
        <f t="shared" si="20"/>
        <v>3</v>
      </c>
      <c r="C156">
        <f t="shared" si="21"/>
        <v>6</v>
      </c>
      <c r="D156" t="str">
        <f t="shared" si="22"/>
        <v>Jun</v>
      </c>
      <c r="E156" t="str">
        <f t="shared" si="23"/>
        <v>Q2</v>
      </c>
      <c r="F156">
        <f t="shared" si="24"/>
        <v>2</v>
      </c>
      <c r="G156">
        <f t="shared" si="25"/>
        <v>2024</v>
      </c>
      <c r="H156" t="str">
        <f t="shared" si="26"/>
        <v>2024-Jun</v>
      </c>
      <c r="I156" t="str">
        <f t="shared" si="27"/>
        <v>Mon</v>
      </c>
      <c r="J156" t="str">
        <f t="shared" si="28"/>
        <v>Weekday</v>
      </c>
    </row>
    <row r="157" spans="1:10" x14ac:dyDescent="0.25">
      <c r="A157" s="1">
        <f t="shared" si="29"/>
        <v>45447</v>
      </c>
      <c r="B157">
        <f t="shared" si="20"/>
        <v>4</v>
      </c>
      <c r="C157">
        <f t="shared" si="21"/>
        <v>6</v>
      </c>
      <c r="D157" t="str">
        <f t="shared" si="22"/>
        <v>Jun</v>
      </c>
      <c r="E157" t="str">
        <f t="shared" si="23"/>
        <v>Q2</v>
      </c>
      <c r="F157">
        <f t="shared" si="24"/>
        <v>2</v>
      </c>
      <c r="G157">
        <f t="shared" si="25"/>
        <v>2024</v>
      </c>
      <c r="H157" t="str">
        <f t="shared" si="26"/>
        <v>2024-Jun</v>
      </c>
      <c r="I157" t="str">
        <f t="shared" si="27"/>
        <v>Tue</v>
      </c>
      <c r="J157" t="str">
        <f t="shared" si="28"/>
        <v>Weekday</v>
      </c>
    </row>
    <row r="158" spans="1:10" x14ac:dyDescent="0.25">
      <c r="A158" s="1">
        <f t="shared" si="29"/>
        <v>45448</v>
      </c>
      <c r="B158">
        <f t="shared" si="20"/>
        <v>5</v>
      </c>
      <c r="C158">
        <f t="shared" si="21"/>
        <v>6</v>
      </c>
      <c r="D158" t="str">
        <f t="shared" si="22"/>
        <v>Jun</v>
      </c>
      <c r="E158" t="str">
        <f t="shared" si="23"/>
        <v>Q2</v>
      </c>
      <c r="F158">
        <f t="shared" si="24"/>
        <v>2</v>
      </c>
      <c r="G158">
        <f t="shared" si="25"/>
        <v>2024</v>
      </c>
      <c r="H158" t="str">
        <f t="shared" si="26"/>
        <v>2024-Jun</v>
      </c>
      <c r="I158" t="str">
        <f t="shared" si="27"/>
        <v>Wed</v>
      </c>
      <c r="J158" t="str">
        <f t="shared" si="28"/>
        <v>Weekday</v>
      </c>
    </row>
    <row r="159" spans="1:10" x14ac:dyDescent="0.25">
      <c r="A159" s="1">
        <f t="shared" si="29"/>
        <v>45449</v>
      </c>
      <c r="B159">
        <f t="shared" si="20"/>
        <v>6</v>
      </c>
      <c r="C159">
        <f t="shared" si="21"/>
        <v>6</v>
      </c>
      <c r="D159" t="str">
        <f t="shared" si="22"/>
        <v>Jun</v>
      </c>
      <c r="E159" t="str">
        <f t="shared" si="23"/>
        <v>Q2</v>
      </c>
      <c r="F159">
        <f t="shared" si="24"/>
        <v>2</v>
      </c>
      <c r="G159">
        <f t="shared" si="25"/>
        <v>2024</v>
      </c>
      <c r="H159" t="str">
        <f t="shared" si="26"/>
        <v>2024-Jun</v>
      </c>
      <c r="I159" t="str">
        <f t="shared" si="27"/>
        <v>Thu</v>
      </c>
      <c r="J159" t="str">
        <f t="shared" si="28"/>
        <v>Weekday</v>
      </c>
    </row>
    <row r="160" spans="1:10" x14ac:dyDescent="0.25">
      <c r="A160" s="1">
        <f t="shared" si="29"/>
        <v>45450</v>
      </c>
      <c r="B160">
        <f t="shared" si="20"/>
        <v>7</v>
      </c>
      <c r="C160">
        <f t="shared" si="21"/>
        <v>6</v>
      </c>
      <c r="D160" t="str">
        <f t="shared" si="22"/>
        <v>Jun</v>
      </c>
      <c r="E160" t="str">
        <f t="shared" si="23"/>
        <v>Q2</v>
      </c>
      <c r="F160">
        <f t="shared" si="24"/>
        <v>2</v>
      </c>
      <c r="G160">
        <f t="shared" si="25"/>
        <v>2024</v>
      </c>
      <c r="H160" t="str">
        <f t="shared" si="26"/>
        <v>2024-Jun</v>
      </c>
      <c r="I160" t="str">
        <f t="shared" si="27"/>
        <v>Fri</v>
      </c>
      <c r="J160" t="str">
        <f t="shared" si="28"/>
        <v>Weekday</v>
      </c>
    </row>
    <row r="161" spans="1:10" x14ac:dyDescent="0.25">
      <c r="A161" s="1">
        <f t="shared" si="29"/>
        <v>45451</v>
      </c>
      <c r="B161">
        <f t="shared" si="20"/>
        <v>8</v>
      </c>
      <c r="C161">
        <f t="shared" si="21"/>
        <v>6</v>
      </c>
      <c r="D161" t="str">
        <f t="shared" si="22"/>
        <v>Jun</v>
      </c>
      <c r="E161" t="str">
        <f t="shared" si="23"/>
        <v>Q2</v>
      </c>
      <c r="F161">
        <f t="shared" si="24"/>
        <v>2</v>
      </c>
      <c r="G161">
        <f t="shared" si="25"/>
        <v>2024</v>
      </c>
      <c r="H161" t="str">
        <f t="shared" si="26"/>
        <v>2024-Jun</v>
      </c>
      <c r="I161" t="str">
        <f t="shared" si="27"/>
        <v>Sat</v>
      </c>
      <c r="J161" t="str">
        <f t="shared" si="28"/>
        <v>Weekend</v>
      </c>
    </row>
    <row r="162" spans="1:10" x14ac:dyDescent="0.25">
      <c r="A162" s="1">
        <f t="shared" si="29"/>
        <v>45452</v>
      </c>
      <c r="B162">
        <f t="shared" si="20"/>
        <v>9</v>
      </c>
      <c r="C162">
        <f t="shared" si="21"/>
        <v>6</v>
      </c>
      <c r="D162" t="str">
        <f t="shared" si="22"/>
        <v>Jun</v>
      </c>
      <c r="E162" t="str">
        <f t="shared" si="23"/>
        <v>Q2</v>
      </c>
      <c r="F162">
        <f t="shared" si="24"/>
        <v>2</v>
      </c>
      <c r="G162">
        <f t="shared" si="25"/>
        <v>2024</v>
      </c>
      <c r="H162" t="str">
        <f t="shared" si="26"/>
        <v>2024-Jun</v>
      </c>
      <c r="I162" t="str">
        <f t="shared" si="27"/>
        <v>Sun</v>
      </c>
      <c r="J162" t="str">
        <f t="shared" si="28"/>
        <v>Weekend</v>
      </c>
    </row>
    <row r="163" spans="1:10" x14ac:dyDescent="0.25">
      <c r="A163" s="1">
        <f t="shared" si="29"/>
        <v>45453</v>
      </c>
      <c r="B163">
        <f t="shared" si="20"/>
        <v>10</v>
      </c>
      <c r="C163">
        <f t="shared" si="21"/>
        <v>6</v>
      </c>
      <c r="D163" t="str">
        <f t="shared" si="22"/>
        <v>Jun</v>
      </c>
      <c r="E163" t="str">
        <f t="shared" si="23"/>
        <v>Q2</v>
      </c>
      <c r="F163">
        <f t="shared" si="24"/>
        <v>2</v>
      </c>
      <c r="G163">
        <f t="shared" si="25"/>
        <v>2024</v>
      </c>
      <c r="H163" t="str">
        <f t="shared" si="26"/>
        <v>2024-Jun</v>
      </c>
      <c r="I163" t="str">
        <f t="shared" si="27"/>
        <v>Mon</v>
      </c>
      <c r="J163" t="str">
        <f t="shared" si="28"/>
        <v>Weekday</v>
      </c>
    </row>
    <row r="164" spans="1:10" x14ac:dyDescent="0.25">
      <c r="A164" s="1">
        <f t="shared" si="29"/>
        <v>45454</v>
      </c>
      <c r="B164">
        <f t="shared" si="20"/>
        <v>11</v>
      </c>
      <c r="C164">
        <f t="shared" si="21"/>
        <v>6</v>
      </c>
      <c r="D164" t="str">
        <f t="shared" si="22"/>
        <v>Jun</v>
      </c>
      <c r="E164" t="str">
        <f t="shared" si="23"/>
        <v>Q2</v>
      </c>
      <c r="F164">
        <f t="shared" si="24"/>
        <v>2</v>
      </c>
      <c r="G164">
        <f t="shared" si="25"/>
        <v>2024</v>
      </c>
      <c r="H164" t="str">
        <f t="shared" si="26"/>
        <v>2024-Jun</v>
      </c>
      <c r="I164" t="str">
        <f t="shared" si="27"/>
        <v>Tue</v>
      </c>
      <c r="J164" t="str">
        <f t="shared" si="28"/>
        <v>Weekday</v>
      </c>
    </row>
    <row r="165" spans="1:10" x14ac:dyDescent="0.25">
      <c r="A165" s="1">
        <f t="shared" si="29"/>
        <v>45455</v>
      </c>
      <c r="B165">
        <f t="shared" si="20"/>
        <v>12</v>
      </c>
      <c r="C165">
        <f t="shared" si="21"/>
        <v>6</v>
      </c>
      <c r="D165" t="str">
        <f t="shared" si="22"/>
        <v>Jun</v>
      </c>
      <c r="E165" t="str">
        <f t="shared" si="23"/>
        <v>Q2</v>
      </c>
      <c r="F165">
        <f t="shared" si="24"/>
        <v>2</v>
      </c>
      <c r="G165">
        <f t="shared" si="25"/>
        <v>2024</v>
      </c>
      <c r="H165" t="str">
        <f t="shared" si="26"/>
        <v>2024-Jun</v>
      </c>
      <c r="I165" t="str">
        <f t="shared" si="27"/>
        <v>Wed</v>
      </c>
      <c r="J165" t="str">
        <f t="shared" si="28"/>
        <v>Weekday</v>
      </c>
    </row>
    <row r="166" spans="1:10" x14ac:dyDescent="0.25">
      <c r="A166" s="1">
        <f t="shared" si="29"/>
        <v>45456</v>
      </c>
      <c r="B166">
        <f t="shared" si="20"/>
        <v>13</v>
      </c>
      <c r="C166">
        <f t="shared" si="21"/>
        <v>6</v>
      </c>
      <c r="D166" t="str">
        <f t="shared" si="22"/>
        <v>Jun</v>
      </c>
      <c r="E166" t="str">
        <f t="shared" si="23"/>
        <v>Q2</v>
      </c>
      <c r="F166">
        <f t="shared" si="24"/>
        <v>2</v>
      </c>
      <c r="G166">
        <f t="shared" si="25"/>
        <v>2024</v>
      </c>
      <c r="H166" t="str">
        <f t="shared" si="26"/>
        <v>2024-Jun</v>
      </c>
      <c r="I166" t="str">
        <f t="shared" si="27"/>
        <v>Thu</v>
      </c>
      <c r="J166" t="str">
        <f t="shared" si="28"/>
        <v>Weekday</v>
      </c>
    </row>
    <row r="167" spans="1:10" x14ac:dyDescent="0.25">
      <c r="A167" s="1">
        <f t="shared" si="29"/>
        <v>45457</v>
      </c>
      <c r="B167">
        <f t="shared" si="20"/>
        <v>14</v>
      </c>
      <c r="C167">
        <f t="shared" si="21"/>
        <v>6</v>
      </c>
      <c r="D167" t="str">
        <f t="shared" si="22"/>
        <v>Jun</v>
      </c>
      <c r="E167" t="str">
        <f t="shared" si="23"/>
        <v>Q2</v>
      </c>
      <c r="F167">
        <f t="shared" si="24"/>
        <v>2</v>
      </c>
      <c r="G167">
        <f t="shared" si="25"/>
        <v>2024</v>
      </c>
      <c r="H167" t="str">
        <f t="shared" si="26"/>
        <v>2024-Jun</v>
      </c>
      <c r="I167" t="str">
        <f t="shared" si="27"/>
        <v>Fri</v>
      </c>
      <c r="J167" t="str">
        <f t="shared" si="28"/>
        <v>Weekday</v>
      </c>
    </row>
    <row r="168" spans="1:10" x14ac:dyDescent="0.25">
      <c r="A168" s="1">
        <f t="shared" si="29"/>
        <v>45458</v>
      </c>
      <c r="B168">
        <f t="shared" si="20"/>
        <v>15</v>
      </c>
      <c r="C168">
        <f t="shared" si="21"/>
        <v>6</v>
      </c>
      <c r="D168" t="str">
        <f t="shared" si="22"/>
        <v>Jun</v>
      </c>
      <c r="E168" t="str">
        <f t="shared" si="23"/>
        <v>Q2</v>
      </c>
      <c r="F168">
        <f t="shared" si="24"/>
        <v>2</v>
      </c>
      <c r="G168">
        <f t="shared" si="25"/>
        <v>2024</v>
      </c>
      <c r="H168" t="str">
        <f t="shared" si="26"/>
        <v>2024-Jun</v>
      </c>
      <c r="I168" t="str">
        <f t="shared" si="27"/>
        <v>Sat</v>
      </c>
      <c r="J168" t="str">
        <f t="shared" si="28"/>
        <v>Weekend</v>
      </c>
    </row>
    <row r="169" spans="1:10" x14ac:dyDescent="0.25">
      <c r="A169" s="1">
        <f t="shared" si="29"/>
        <v>45459</v>
      </c>
      <c r="B169">
        <f t="shared" si="20"/>
        <v>16</v>
      </c>
      <c r="C169">
        <f t="shared" si="21"/>
        <v>6</v>
      </c>
      <c r="D169" t="str">
        <f t="shared" si="22"/>
        <v>Jun</v>
      </c>
      <c r="E169" t="str">
        <f t="shared" si="23"/>
        <v>Q2</v>
      </c>
      <c r="F169">
        <f t="shared" si="24"/>
        <v>2</v>
      </c>
      <c r="G169">
        <f t="shared" si="25"/>
        <v>2024</v>
      </c>
      <c r="H169" t="str">
        <f t="shared" si="26"/>
        <v>2024-Jun</v>
      </c>
      <c r="I169" t="str">
        <f t="shared" si="27"/>
        <v>Sun</v>
      </c>
      <c r="J169" t="str">
        <f t="shared" si="28"/>
        <v>Weekend</v>
      </c>
    </row>
    <row r="170" spans="1:10" x14ac:dyDescent="0.25">
      <c r="A170" s="1">
        <f t="shared" si="29"/>
        <v>45460</v>
      </c>
      <c r="B170">
        <f t="shared" si="20"/>
        <v>17</v>
      </c>
      <c r="C170">
        <f t="shared" si="21"/>
        <v>6</v>
      </c>
      <c r="D170" t="str">
        <f t="shared" si="22"/>
        <v>Jun</v>
      </c>
      <c r="E170" t="str">
        <f t="shared" si="23"/>
        <v>Q2</v>
      </c>
      <c r="F170">
        <f t="shared" si="24"/>
        <v>2</v>
      </c>
      <c r="G170">
        <f t="shared" si="25"/>
        <v>2024</v>
      </c>
      <c r="H170" t="str">
        <f t="shared" si="26"/>
        <v>2024-Jun</v>
      </c>
      <c r="I170" t="str">
        <f t="shared" si="27"/>
        <v>Mon</v>
      </c>
      <c r="J170" t="str">
        <f t="shared" si="28"/>
        <v>Weekday</v>
      </c>
    </row>
    <row r="171" spans="1:10" x14ac:dyDescent="0.25">
      <c r="A171" s="1">
        <f t="shared" si="29"/>
        <v>45461</v>
      </c>
      <c r="B171">
        <f t="shared" si="20"/>
        <v>18</v>
      </c>
      <c r="C171">
        <f t="shared" si="21"/>
        <v>6</v>
      </c>
      <c r="D171" t="str">
        <f t="shared" si="22"/>
        <v>Jun</v>
      </c>
      <c r="E171" t="str">
        <f t="shared" si="23"/>
        <v>Q2</v>
      </c>
      <c r="F171">
        <f t="shared" si="24"/>
        <v>2</v>
      </c>
      <c r="G171">
        <f t="shared" si="25"/>
        <v>2024</v>
      </c>
      <c r="H171" t="str">
        <f t="shared" si="26"/>
        <v>2024-Jun</v>
      </c>
      <c r="I171" t="str">
        <f t="shared" si="27"/>
        <v>Tue</v>
      </c>
      <c r="J171" t="str">
        <f t="shared" si="28"/>
        <v>Weekday</v>
      </c>
    </row>
    <row r="172" spans="1:10" x14ac:dyDescent="0.25">
      <c r="A172" s="1">
        <f t="shared" si="29"/>
        <v>45462</v>
      </c>
      <c r="B172">
        <f t="shared" si="20"/>
        <v>19</v>
      </c>
      <c r="C172">
        <f t="shared" si="21"/>
        <v>6</v>
      </c>
      <c r="D172" t="str">
        <f t="shared" si="22"/>
        <v>Jun</v>
      </c>
      <c r="E172" t="str">
        <f t="shared" si="23"/>
        <v>Q2</v>
      </c>
      <c r="F172">
        <f t="shared" si="24"/>
        <v>2</v>
      </c>
      <c r="G172">
        <f t="shared" si="25"/>
        <v>2024</v>
      </c>
      <c r="H172" t="str">
        <f t="shared" si="26"/>
        <v>2024-Jun</v>
      </c>
      <c r="I172" t="str">
        <f t="shared" si="27"/>
        <v>Wed</v>
      </c>
      <c r="J172" t="str">
        <f t="shared" si="28"/>
        <v>Weekday</v>
      </c>
    </row>
    <row r="173" spans="1:10" x14ac:dyDescent="0.25">
      <c r="A173" s="1">
        <f t="shared" si="29"/>
        <v>45463</v>
      </c>
      <c r="B173">
        <f t="shared" si="20"/>
        <v>20</v>
      </c>
      <c r="C173">
        <f t="shared" si="21"/>
        <v>6</v>
      </c>
      <c r="D173" t="str">
        <f t="shared" si="22"/>
        <v>Jun</v>
      </c>
      <c r="E173" t="str">
        <f t="shared" si="23"/>
        <v>Q2</v>
      </c>
      <c r="F173">
        <f t="shared" si="24"/>
        <v>2</v>
      </c>
      <c r="G173">
        <f t="shared" si="25"/>
        <v>2024</v>
      </c>
      <c r="H173" t="str">
        <f t="shared" si="26"/>
        <v>2024-Jun</v>
      </c>
      <c r="I173" t="str">
        <f t="shared" si="27"/>
        <v>Thu</v>
      </c>
      <c r="J173" t="str">
        <f t="shared" si="28"/>
        <v>Weekday</v>
      </c>
    </row>
    <row r="174" spans="1:10" x14ac:dyDescent="0.25">
      <c r="A174" s="1">
        <f t="shared" si="29"/>
        <v>45464</v>
      </c>
      <c r="B174">
        <f t="shared" si="20"/>
        <v>21</v>
      </c>
      <c r="C174">
        <f t="shared" si="21"/>
        <v>6</v>
      </c>
      <c r="D174" t="str">
        <f t="shared" si="22"/>
        <v>Jun</v>
      </c>
      <c r="E174" t="str">
        <f t="shared" si="23"/>
        <v>Q2</v>
      </c>
      <c r="F174">
        <f t="shared" si="24"/>
        <v>2</v>
      </c>
      <c r="G174">
        <f t="shared" si="25"/>
        <v>2024</v>
      </c>
      <c r="H174" t="str">
        <f t="shared" si="26"/>
        <v>2024-Jun</v>
      </c>
      <c r="I174" t="str">
        <f t="shared" si="27"/>
        <v>Fri</v>
      </c>
      <c r="J174" t="str">
        <f t="shared" si="28"/>
        <v>Weekday</v>
      </c>
    </row>
    <row r="175" spans="1:10" x14ac:dyDescent="0.25">
      <c r="A175" s="1">
        <f t="shared" si="29"/>
        <v>45465</v>
      </c>
      <c r="B175">
        <f t="shared" si="20"/>
        <v>22</v>
      </c>
      <c r="C175">
        <f t="shared" si="21"/>
        <v>6</v>
      </c>
      <c r="D175" t="str">
        <f t="shared" si="22"/>
        <v>Jun</v>
      </c>
      <c r="E175" t="str">
        <f t="shared" si="23"/>
        <v>Q2</v>
      </c>
      <c r="F175">
        <f t="shared" si="24"/>
        <v>2</v>
      </c>
      <c r="G175">
        <f t="shared" si="25"/>
        <v>2024</v>
      </c>
      <c r="H175" t="str">
        <f t="shared" si="26"/>
        <v>2024-Jun</v>
      </c>
      <c r="I175" t="str">
        <f t="shared" si="27"/>
        <v>Sat</v>
      </c>
      <c r="J175" t="str">
        <f t="shared" si="28"/>
        <v>Weekend</v>
      </c>
    </row>
    <row r="176" spans="1:10" x14ac:dyDescent="0.25">
      <c r="A176" s="1">
        <f t="shared" si="29"/>
        <v>45466</v>
      </c>
      <c r="B176">
        <f t="shared" si="20"/>
        <v>23</v>
      </c>
      <c r="C176">
        <f t="shared" si="21"/>
        <v>6</v>
      </c>
      <c r="D176" t="str">
        <f t="shared" si="22"/>
        <v>Jun</v>
      </c>
      <c r="E176" t="str">
        <f t="shared" si="23"/>
        <v>Q2</v>
      </c>
      <c r="F176">
        <f t="shared" si="24"/>
        <v>2</v>
      </c>
      <c r="G176">
        <f t="shared" si="25"/>
        <v>2024</v>
      </c>
      <c r="H176" t="str">
        <f t="shared" si="26"/>
        <v>2024-Jun</v>
      </c>
      <c r="I176" t="str">
        <f t="shared" si="27"/>
        <v>Sun</v>
      </c>
      <c r="J176" t="str">
        <f t="shared" si="28"/>
        <v>Weekend</v>
      </c>
    </row>
    <row r="177" spans="1:10" x14ac:dyDescent="0.25">
      <c r="A177" s="1">
        <f t="shared" si="29"/>
        <v>45467</v>
      </c>
      <c r="B177">
        <f t="shared" si="20"/>
        <v>24</v>
      </c>
      <c r="C177">
        <f t="shared" si="21"/>
        <v>6</v>
      </c>
      <c r="D177" t="str">
        <f t="shared" si="22"/>
        <v>Jun</v>
      </c>
      <c r="E177" t="str">
        <f t="shared" si="23"/>
        <v>Q2</v>
      </c>
      <c r="F177">
        <f t="shared" si="24"/>
        <v>2</v>
      </c>
      <c r="G177">
        <f t="shared" si="25"/>
        <v>2024</v>
      </c>
      <c r="H177" t="str">
        <f t="shared" si="26"/>
        <v>2024-Jun</v>
      </c>
      <c r="I177" t="str">
        <f t="shared" si="27"/>
        <v>Mon</v>
      </c>
      <c r="J177" t="str">
        <f t="shared" si="28"/>
        <v>Weekday</v>
      </c>
    </row>
    <row r="178" spans="1:10" x14ac:dyDescent="0.25">
      <c r="A178" s="1">
        <f t="shared" si="29"/>
        <v>45468</v>
      </c>
      <c r="B178">
        <f t="shared" si="20"/>
        <v>25</v>
      </c>
      <c r="C178">
        <f t="shared" si="21"/>
        <v>6</v>
      </c>
      <c r="D178" t="str">
        <f t="shared" si="22"/>
        <v>Jun</v>
      </c>
      <c r="E178" t="str">
        <f t="shared" si="23"/>
        <v>Q2</v>
      </c>
      <c r="F178">
        <f t="shared" si="24"/>
        <v>2</v>
      </c>
      <c r="G178">
        <f t="shared" si="25"/>
        <v>2024</v>
      </c>
      <c r="H178" t="str">
        <f t="shared" si="26"/>
        <v>2024-Jun</v>
      </c>
      <c r="I178" t="str">
        <f t="shared" si="27"/>
        <v>Tue</v>
      </c>
      <c r="J178" t="str">
        <f t="shared" si="28"/>
        <v>Weekday</v>
      </c>
    </row>
    <row r="179" spans="1:10" x14ac:dyDescent="0.25">
      <c r="A179" s="1">
        <f t="shared" si="29"/>
        <v>45469</v>
      </c>
      <c r="B179">
        <f t="shared" si="20"/>
        <v>26</v>
      </c>
      <c r="C179">
        <f t="shared" si="21"/>
        <v>6</v>
      </c>
      <c r="D179" t="str">
        <f t="shared" si="22"/>
        <v>Jun</v>
      </c>
      <c r="E179" t="str">
        <f t="shared" si="23"/>
        <v>Q2</v>
      </c>
      <c r="F179">
        <f t="shared" si="24"/>
        <v>2</v>
      </c>
      <c r="G179">
        <f t="shared" si="25"/>
        <v>2024</v>
      </c>
      <c r="H179" t="str">
        <f t="shared" si="26"/>
        <v>2024-Jun</v>
      </c>
      <c r="I179" t="str">
        <f t="shared" si="27"/>
        <v>Wed</v>
      </c>
      <c r="J179" t="str">
        <f t="shared" si="28"/>
        <v>Weekday</v>
      </c>
    </row>
    <row r="180" spans="1:10" x14ac:dyDescent="0.25">
      <c r="A180" s="1">
        <f t="shared" si="29"/>
        <v>45470</v>
      </c>
      <c r="B180">
        <f t="shared" si="20"/>
        <v>27</v>
      </c>
      <c r="C180">
        <f t="shared" si="21"/>
        <v>6</v>
      </c>
      <c r="D180" t="str">
        <f t="shared" si="22"/>
        <v>Jun</v>
      </c>
      <c r="E180" t="str">
        <f t="shared" si="23"/>
        <v>Q2</v>
      </c>
      <c r="F180">
        <f t="shared" si="24"/>
        <v>2</v>
      </c>
      <c r="G180">
        <f t="shared" si="25"/>
        <v>2024</v>
      </c>
      <c r="H180" t="str">
        <f t="shared" si="26"/>
        <v>2024-Jun</v>
      </c>
      <c r="I180" t="str">
        <f t="shared" si="27"/>
        <v>Thu</v>
      </c>
      <c r="J180" t="str">
        <f t="shared" si="28"/>
        <v>Weekday</v>
      </c>
    </row>
    <row r="181" spans="1:10" x14ac:dyDescent="0.25">
      <c r="A181" s="1">
        <f t="shared" si="29"/>
        <v>45471</v>
      </c>
      <c r="B181">
        <f t="shared" si="20"/>
        <v>28</v>
      </c>
      <c r="C181">
        <f t="shared" si="21"/>
        <v>6</v>
      </c>
      <c r="D181" t="str">
        <f t="shared" si="22"/>
        <v>Jun</v>
      </c>
      <c r="E181" t="str">
        <f t="shared" si="23"/>
        <v>Q2</v>
      </c>
      <c r="F181">
        <f t="shared" si="24"/>
        <v>2</v>
      </c>
      <c r="G181">
        <f t="shared" si="25"/>
        <v>2024</v>
      </c>
      <c r="H181" t="str">
        <f t="shared" si="26"/>
        <v>2024-Jun</v>
      </c>
      <c r="I181" t="str">
        <f t="shared" si="27"/>
        <v>Fri</v>
      </c>
      <c r="J181" t="str">
        <f t="shared" si="28"/>
        <v>Weekday</v>
      </c>
    </row>
    <row r="182" spans="1:10" x14ac:dyDescent="0.25">
      <c r="A182" s="1">
        <f t="shared" si="29"/>
        <v>45472</v>
      </c>
      <c r="B182">
        <f t="shared" si="20"/>
        <v>29</v>
      </c>
      <c r="C182">
        <f t="shared" si="21"/>
        <v>6</v>
      </c>
      <c r="D182" t="str">
        <f t="shared" si="22"/>
        <v>Jun</v>
      </c>
      <c r="E182" t="str">
        <f t="shared" si="23"/>
        <v>Q2</v>
      </c>
      <c r="F182">
        <f t="shared" si="24"/>
        <v>2</v>
      </c>
      <c r="G182">
        <f t="shared" si="25"/>
        <v>2024</v>
      </c>
      <c r="H182" t="str">
        <f t="shared" si="26"/>
        <v>2024-Jun</v>
      </c>
      <c r="I182" t="str">
        <f t="shared" si="27"/>
        <v>Sat</v>
      </c>
      <c r="J182" t="str">
        <f t="shared" si="28"/>
        <v>Weekend</v>
      </c>
    </row>
    <row r="183" spans="1:10" x14ac:dyDescent="0.25">
      <c r="A183" s="1">
        <f t="shared" si="29"/>
        <v>45473</v>
      </c>
      <c r="B183">
        <f t="shared" si="20"/>
        <v>30</v>
      </c>
      <c r="C183">
        <f t="shared" si="21"/>
        <v>6</v>
      </c>
      <c r="D183" t="str">
        <f t="shared" si="22"/>
        <v>Jun</v>
      </c>
      <c r="E183" t="str">
        <f t="shared" si="23"/>
        <v>Q2</v>
      </c>
      <c r="F183">
        <f t="shared" si="24"/>
        <v>2</v>
      </c>
      <c r="G183">
        <f t="shared" si="25"/>
        <v>2024</v>
      </c>
      <c r="H183" t="str">
        <f t="shared" si="26"/>
        <v>2024-Jun</v>
      </c>
      <c r="I183" t="str">
        <f t="shared" si="27"/>
        <v>Sun</v>
      </c>
      <c r="J183" t="str">
        <f t="shared" si="28"/>
        <v>Weekend</v>
      </c>
    </row>
    <row r="184" spans="1:10" x14ac:dyDescent="0.25">
      <c r="A184" s="1">
        <f t="shared" si="29"/>
        <v>45474</v>
      </c>
      <c r="B184">
        <f t="shared" si="20"/>
        <v>1</v>
      </c>
      <c r="C184">
        <f t="shared" si="21"/>
        <v>7</v>
      </c>
      <c r="D184" t="str">
        <f t="shared" si="22"/>
        <v>Jul</v>
      </c>
      <c r="E184" t="str">
        <f t="shared" si="23"/>
        <v>Q3</v>
      </c>
      <c r="F184">
        <f t="shared" si="24"/>
        <v>3</v>
      </c>
      <c r="G184">
        <f t="shared" si="25"/>
        <v>2024</v>
      </c>
      <c r="H184" t="str">
        <f t="shared" si="26"/>
        <v>2024-Jul</v>
      </c>
      <c r="I184" t="str">
        <f t="shared" si="27"/>
        <v>Mon</v>
      </c>
      <c r="J184" t="str">
        <f t="shared" si="28"/>
        <v>Weekday</v>
      </c>
    </row>
    <row r="185" spans="1:10" x14ac:dyDescent="0.25">
      <c r="A185" s="1">
        <f t="shared" si="29"/>
        <v>45475</v>
      </c>
      <c r="B185">
        <f t="shared" si="20"/>
        <v>2</v>
      </c>
      <c r="C185">
        <f t="shared" si="21"/>
        <v>7</v>
      </c>
      <c r="D185" t="str">
        <f t="shared" si="22"/>
        <v>Jul</v>
      </c>
      <c r="E185" t="str">
        <f t="shared" si="23"/>
        <v>Q3</v>
      </c>
      <c r="F185">
        <f t="shared" si="24"/>
        <v>3</v>
      </c>
      <c r="G185">
        <f t="shared" si="25"/>
        <v>2024</v>
      </c>
      <c r="H185" t="str">
        <f t="shared" si="26"/>
        <v>2024-Jul</v>
      </c>
      <c r="I185" t="str">
        <f t="shared" si="27"/>
        <v>Tue</v>
      </c>
      <c r="J185" t="str">
        <f t="shared" si="28"/>
        <v>Weekday</v>
      </c>
    </row>
    <row r="186" spans="1:10" x14ac:dyDescent="0.25">
      <c r="A186" s="1">
        <f t="shared" si="29"/>
        <v>45476</v>
      </c>
      <c r="B186">
        <f t="shared" si="20"/>
        <v>3</v>
      </c>
      <c r="C186">
        <f t="shared" si="21"/>
        <v>7</v>
      </c>
      <c r="D186" t="str">
        <f t="shared" si="22"/>
        <v>Jul</v>
      </c>
      <c r="E186" t="str">
        <f t="shared" si="23"/>
        <v>Q3</v>
      </c>
      <c r="F186">
        <f t="shared" si="24"/>
        <v>3</v>
      </c>
      <c r="G186">
        <f t="shared" si="25"/>
        <v>2024</v>
      </c>
      <c r="H186" t="str">
        <f t="shared" si="26"/>
        <v>2024-Jul</v>
      </c>
      <c r="I186" t="str">
        <f t="shared" si="27"/>
        <v>Wed</v>
      </c>
      <c r="J186" t="str">
        <f t="shared" si="28"/>
        <v>Weekday</v>
      </c>
    </row>
    <row r="187" spans="1:10" x14ac:dyDescent="0.25">
      <c r="A187" s="1">
        <f t="shared" si="29"/>
        <v>45477</v>
      </c>
      <c r="B187">
        <f t="shared" si="20"/>
        <v>4</v>
      </c>
      <c r="C187">
        <f t="shared" si="21"/>
        <v>7</v>
      </c>
      <c r="D187" t="str">
        <f t="shared" si="22"/>
        <v>Jul</v>
      </c>
      <c r="E187" t="str">
        <f t="shared" si="23"/>
        <v>Q3</v>
      </c>
      <c r="F187">
        <f t="shared" si="24"/>
        <v>3</v>
      </c>
      <c r="G187">
        <f t="shared" si="25"/>
        <v>2024</v>
      </c>
      <c r="H187" t="str">
        <f t="shared" si="26"/>
        <v>2024-Jul</v>
      </c>
      <c r="I187" t="str">
        <f t="shared" si="27"/>
        <v>Thu</v>
      </c>
      <c r="J187" t="str">
        <f t="shared" si="28"/>
        <v>Weekday</v>
      </c>
    </row>
    <row r="188" spans="1:10" x14ac:dyDescent="0.25">
      <c r="A188" s="1">
        <f t="shared" si="29"/>
        <v>45478</v>
      </c>
      <c r="B188">
        <f t="shared" si="20"/>
        <v>5</v>
      </c>
      <c r="C188">
        <f t="shared" si="21"/>
        <v>7</v>
      </c>
      <c r="D188" t="str">
        <f t="shared" si="22"/>
        <v>Jul</v>
      </c>
      <c r="E188" t="str">
        <f t="shared" si="23"/>
        <v>Q3</v>
      </c>
      <c r="F188">
        <f t="shared" si="24"/>
        <v>3</v>
      </c>
      <c r="G188">
        <f t="shared" si="25"/>
        <v>2024</v>
      </c>
      <c r="H188" t="str">
        <f t="shared" si="26"/>
        <v>2024-Jul</v>
      </c>
      <c r="I188" t="str">
        <f t="shared" si="27"/>
        <v>Fri</v>
      </c>
      <c r="J188" t="str">
        <f t="shared" si="28"/>
        <v>Weekday</v>
      </c>
    </row>
    <row r="189" spans="1:10" x14ac:dyDescent="0.25">
      <c r="A189" s="1">
        <f t="shared" si="29"/>
        <v>45479</v>
      </c>
      <c r="B189">
        <f t="shared" si="20"/>
        <v>6</v>
      </c>
      <c r="C189">
        <f t="shared" si="21"/>
        <v>7</v>
      </c>
      <c r="D189" t="str">
        <f t="shared" si="22"/>
        <v>Jul</v>
      </c>
      <c r="E189" t="str">
        <f t="shared" si="23"/>
        <v>Q3</v>
      </c>
      <c r="F189">
        <f t="shared" si="24"/>
        <v>3</v>
      </c>
      <c r="G189">
        <f t="shared" si="25"/>
        <v>2024</v>
      </c>
      <c r="H189" t="str">
        <f t="shared" si="26"/>
        <v>2024-Jul</v>
      </c>
      <c r="I189" t="str">
        <f t="shared" si="27"/>
        <v>Sat</v>
      </c>
      <c r="J189" t="str">
        <f t="shared" si="28"/>
        <v>Weekend</v>
      </c>
    </row>
    <row r="190" spans="1:10" x14ac:dyDescent="0.25">
      <c r="A190" s="1">
        <f t="shared" si="29"/>
        <v>45480</v>
      </c>
      <c r="B190">
        <f t="shared" si="20"/>
        <v>7</v>
      </c>
      <c r="C190">
        <f t="shared" si="21"/>
        <v>7</v>
      </c>
      <c r="D190" t="str">
        <f t="shared" si="22"/>
        <v>Jul</v>
      </c>
      <c r="E190" t="str">
        <f t="shared" si="23"/>
        <v>Q3</v>
      </c>
      <c r="F190">
        <f t="shared" si="24"/>
        <v>3</v>
      </c>
      <c r="G190">
        <f t="shared" si="25"/>
        <v>2024</v>
      </c>
      <c r="H190" t="str">
        <f t="shared" si="26"/>
        <v>2024-Jul</v>
      </c>
      <c r="I190" t="str">
        <f t="shared" si="27"/>
        <v>Sun</v>
      </c>
      <c r="J190" t="str">
        <f t="shared" si="28"/>
        <v>Weekend</v>
      </c>
    </row>
    <row r="191" spans="1:10" x14ac:dyDescent="0.25">
      <c r="A191" s="1">
        <f t="shared" si="29"/>
        <v>45481</v>
      </c>
      <c r="B191">
        <f t="shared" si="20"/>
        <v>8</v>
      </c>
      <c r="C191">
        <f t="shared" si="21"/>
        <v>7</v>
      </c>
      <c r="D191" t="str">
        <f t="shared" si="22"/>
        <v>Jul</v>
      </c>
      <c r="E191" t="str">
        <f t="shared" si="23"/>
        <v>Q3</v>
      </c>
      <c r="F191">
        <f t="shared" si="24"/>
        <v>3</v>
      </c>
      <c r="G191">
        <f t="shared" si="25"/>
        <v>2024</v>
      </c>
      <c r="H191" t="str">
        <f t="shared" si="26"/>
        <v>2024-Jul</v>
      </c>
      <c r="I191" t="str">
        <f t="shared" si="27"/>
        <v>Mon</v>
      </c>
      <c r="J191" t="str">
        <f t="shared" si="28"/>
        <v>Weekday</v>
      </c>
    </row>
    <row r="192" spans="1:10" x14ac:dyDescent="0.25">
      <c r="A192" s="1">
        <f t="shared" si="29"/>
        <v>45482</v>
      </c>
      <c r="B192">
        <f t="shared" si="20"/>
        <v>9</v>
      </c>
      <c r="C192">
        <f t="shared" si="21"/>
        <v>7</v>
      </c>
      <c r="D192" t="str">
        <f t="shared" si="22"/>
        <v>Jul</v>
      </c>
      <c r="E192" t="str">
        <f t="shared" si="23"/>
        <v>Q3</v>
      </c>
      <c r="F192">
        <f t="shared" si="24"/>
        <v>3</v>
      </c>
      <c r="G192">
        <f t="shared" si="25"/>
        <v>2024</v>
      </c>
      <c r="H192" t="str">
        <f t="shared" si="26"/>
        <v>2024-Jul</v>
      </c>
      <c r="I192" t="str">
        <f t="shared" si="27"/>
        <v>Tue</v>
      </c>
      <c r="J192" t="str">
        <f t="shared" si="28"/>
        <v>Weekday</v>
      </c>
    </row>
    <row r="193" spans="1:10" x14ac:dyDescent="0.25">
      <c r="A193" s="1">
        <f t="shared" si="29"/>
        <v>45483</v>
      </c>
      <c r="B193">
        <f t="shared" si="20"/>
        <v>10</v>
      </c>
      <c r="C193">
        <f t="shared" si="21"/>
        <v>7</v>
      </c>
      <c r="D193" t="str">
        <f t="shared" si="22"/>
        <v>Jul</v>
      </c>
      <c r="E193" t="str">
        <f t="shared" si="23"/>
        <v>Q3</v>
      </c>
      <c r="F193">
        <f t="shared" si="24"/>
        <v>3</v>
      </c>
      <c r="G193">
        <f t="shared" si="25"/>
        <v>2024</v>
      </c>
      <c r="H193" t="str">
        <f t="shared" si="26"/>
        <v>2024-Jul</v>
      </c>
      <c r="I193" t="str">
        <f t="shared" si="27"/>
        <v>Wed</v>
      </c>
      <c r="J193" t="str">
        <f t="shared" si="28"/>
        <v>Weekday</v>
      </c>
    </row>
    <row r="194" spans="1:10" x14ac:dyDescent="0.25">
      <c r="A194" s="1">
        <f t="shared" si="29"/>
        <v>45484</v>
      </c>
      <c r="B194">
        <f t="shared" si="20"/>
        <v>11</v>
      </c>
      <c r="C194">
        <f t="shared" si="21"/>
        <v>7</v>
      </c>
      <c r="D194" t="str">
        <f t="shared" si="22"/>
        <v>Jul</v>
      </c>
      <c r="E194" t="str">
        <f t="shared" si="23"/>
        <v>Q3</v>
      </c>
      <c r="F194">
        <f t="shared" si="24"/>
        <v>3</v>
      </c>
      <c r="G194">
        <f t="shared" si="25"/>
        <v>2024</v>
      </c>
      <c r="H194" t="str">
        <f t="shared" si="26"/>
        <v>2024-Jul</v>
      </c>
      <c r="I194" t="str">
        <f t="shared" si="27"/>
        <v>Thu</v>
      </c>
      <c r="J194" t="str">
        <f t="shared" si="28"/>
        <v>Weekday</v>
      </c>
    </row>
    <row r="195" spans="1:10" x14ac:dyDescent="0.25">
      <c r="A195" s="1">
        <f t="shared" si="29"/>
        <v>45485</v>
      </c>
      <c r="B195">
        <f t="shared" ref="B195:B258" si="30">DAY(A195)</f>
        <v>12</v>
      </c>
      <c r="C195">
        <f t="shared" ref="C195:C258" si="31">MONTH(A195)</f>
        <v>7</v>
      </c>
      <c r="D195" t="str">
        <f t="shared" ref="D195:D258" si="32">TEXT(A195,"MMM")</f>
        <v>Jul</v>
      </c>
      <c r="E195" t="str">
        <f t="shared" ref="E195:E258" si="33">"Q"&amp;ROUNDUP(MONTH(A195)/3,0)</f>
        <v>Q3</v>
      </c>
      <c r="F195">
        <f t="shared" ref="F195:F258" si="34">ROUNDUP(MONTH(A195)/3,0)</f>
        <v>3</v>
      </c>
      <c r="G195">
        <f t="shared" ref="G195:G258" si="35">YEAR(A195)</f>
        <v>2024</v>
      </c>
      <c r="H195" t="str">
        <f t="shared" ref="H195:H258" si="36">TEXT(A195,"YYYY-MMM")</f>
        <v>2024-Jul</v>
      </c>
      <c r="I195" t="str">
        <f t="shared" ref="I195:I258" si="37">TEXT(A195,"DDD")</f>
        <v>Fri</v>
      </c>
      <c r="J195" t="str">
        <f t="shared" ref="J195:J258" si="38">IF(WEEKDAY(A195,2)&gt;=6,"Weekend","Weekday")</f>
        <v>Weekday</v>
      </c>
    </row>
    <row r="196" spans="1:10" x14ac:dyDescent="0.25">
      <c r="A196" s="1">
        <f t="shared" ref="A196:A259" si="39">A195+1</f>
        <v>45486</v>
      </c>
      <c r="B196">
        <f t="shared" si="30"/>
        <v>13</v>
      </c>
      <c r="C196">
        <f t="shared" si="31"/>
        <v>7</v>
      </c>
      <c r="D196" t="str">
        <f t="shared" si="32"/>
        <v>Jul</v>
      </c>
      <c r="E196" t="str">
        <f t="shared" si="33"/>
        <v>Q3</v>
      </c>
      <c r="F196">
        <f t="shared" si="34"/>
        <v>3</v>
      </c>
      <c r="G196">
        <f t="shared" si="35"/>
        <v>2024</v>
      </c>
      <c r="H196" t="str">
        <f t="shared" si="36"/>
        <v>2024-Jul</v>
      </c>
      <c r="I196" t="str">
        <f t="shared" si="37"/>
        <v>Sat</v>
      </c>
      <c r="J196" t="str">
        <f t="shared" si="38"/>
        <v>Weekend</v>
      </c>
    </row>
    <row r="197" spans="1:10" x14ac:dyDescent="0.25">
      <c r="A197" s="1">
        <f t="shared" si="39"/>
        <v>45487</v>
      </c>
      <c r="B197">
        <f t="shared" si="30"/>
        <v>14</v>
      </c>
      <c r="C197">
        <f t="shared" si="31"/>
        <v>7</v>
      </c>
      <c r="D197" t="str">
        <f t="shared" si="32"/>
        <v>Jul</v>
      </c>
      <c r="E197" t="str">
        <f t="shared" si="33"/>
        <v>Q3</v>
      </c>
      <c r="F197">
        <f t="shared" si="34"/>
        <v>3</v>
      </c>
      <c r="G197">
        <f t="shared" si="35"/>
        <v>2024</v>
      </c>
      <c r="H197" t="str">
        <f t="shared" si="36"/>
        <v>2024-Jul</v>
      </c>
      <c r="I197" t="str">
        <f t="shared" si="37"/>
        <v>Sun</v>
      </c>
      <c r="J197" t="str">
        <f t="shared" si="38"/>
        <v>Weekend</v>
      </c>
    </row>
    <row r="198" spans="1:10" x14ac:dyDescent="0.25">
      <c r="A198" s="1">
        <f t="shared" si="39"/>
        <v>45488</v>
      </c>
      <c r="B198">
        <f t="shared" si="30"/>
        <v>15</v>
      </c>
      <c r="C198">
        <f t="shared" si="31"/>
        <v>7</v>
      </c>
      <c r="D198" t="str">
        <f t="shared" si="32"/>
        <v>Jul</v>
      </c>
      <c r="E198" t="str">
        <f t="shared" si="33"/>
        <v>Q3</v>
      </c>
      <c r="F198">
        <f t="shared" si="34"/>
        <v>3</v>
      </c>
      <c r="G198">
        <f t="shared" si="35"/>
        <v>2024</v>
      </c>
      <c r="H198" t="str">
        <f t="shared" si="36"/>
        <v>2024-Jul</v>
      </c>
      <c r="I198" t="str">
        <f t="shared" si="37"/>
        <v>Mon</v>
      </c>
      <c r="J198" t="str">
        <f t="shared" si="38"/>
        <v>Weekday</v>
      </c>
    </row>
    <row r="199" spans="1:10" x14ac:dyDescent="0.25">
      <c r="A199" s="1">
        <f t="shared" si="39"/>
        <v>45489</v>
      </c>
      <c r="B199">
        <f t="shared" si="30"/>
        <v>16</v>
      </c>
      <c r="C199">
        <f t="shared" si="31"/>
        <v>7</v>
      </c>
      <c r="D199" t="str">
        <f t="shared" si="32"/>
        <v>Jul</v>
      </c>
      <c r="E199" t="str">
        <f t="shared" si="33"/>
        <v>Q3</v>
      </c>
      <c r="F199">
        <f t="shared" si="34"/>
        <v>3</v>
      </c>
      <c r="G199">
        <f t="shared" si="35"/>
        <v>2024</v>
      </c>
      <c r="H199" t="str">
        <f t="shared" si="36"/>
        <v>2024-Jul</v>
      </c>
      <c r="I199" t="str">
        <f t="shared" si="37"/>
        <v>Tue</v>
      </c>
      <c r="J199" t="str">
        <f t="shared" si="38"/>
        <v>Weekday</v>
      </c>
    </row>
    <row r="200" spans="1:10" x14ac:dyDescent="0.25">
      <c r="A200" s="1">
        <f t="shared" si="39"/>
        <v>45490</v>
      </c>
      <c r="B200">
        <f t="shared" si="30"/>
        <v>17</v>
      </c>
      <c r="C200">
        <f t="shared" si="31"/>
        <v>7</v>
      </c>
      <c r="D200" t="str">
        <f t="shared" si="32"/>
        <v>Jul</v>
      </c>
      <c r="E200" t="str">
        <f t="shared" si="33"/>
        <v>Q3</v>
      </c>
      <c r="F200">
        <f t="shared" si="34"/>
        <v>3</v>
      </c>
      <c r="G200">
        <f t="shared" si="35"/>
        <v>2024</v>
      </c>
      <c r="H200" t="str">
        <f t="shared" si="36"/>
        <v>2024-Jul</v>
      </c>
      <c r="I200" t="str">
        <f t="shared" si="37"/>
        <v>Wed</v>
      </c>
      <c r="J200" t="str">
        <f t="shared" si="38"/>
        <v>Weekday</v>
      </c>
    </row>
    <row r="201" spans="1:10" x14ac:dyDescent="0.25">
      <c r="A201" s="1">
        <f t="shared" si="39"/>
        <v>45491</v>
      </c>
      <c r="B201">
        <f t="shared" si="30"/>
        <v>18</v>
      </c>
      <c r="C201">
        <f t="shared" si="31"/>
        <v>7</v>
      </c>
      <c r="D201" t="str">
        <f t="shared" si="32"/>
        <v>Jul</v>
      </c>
      <c r="E201" t="str">
        <f t="shared" si="33"/>
        <v>Q3</v>
      </c>
      <c r="F201">
        <f t="shared" si="34"/>
        <v>3</v>
      </c>
      <c r="G201">
        <f t="shared" si="35"/>
        <v>2024</v>
      </c>
      <c r="H201" t="str">
        <f t="shared" si="36"/>
        <v>2024-Jul</v>
      </c>
      <c r="I201" t="str">
        <f t="shared" si="37"/>
        <v>Thu</v>
      </c>
      <c r="J201" t="str">
        <f t="shared" si="38"/>
        <v>Weekday</v>
      </c>
    </row>
    <row r="202" spans="1:10" x14ac:dyDescent="0.25">
      <c r="A202" s="1">
        <f t="shared" si="39"/>
        <v>45492</v>
      </c>
      <c r="B202">
        <f t="shared" si="30"/>
        <v>19</v>
      </c>
      <c r="C202">
        <f t="shared" si="31"/>
        <v>7</v>
      </c>
      <c r="D202" t="str">
        <f t="shared" si="32"/>
        <v>Jul</v>
      </c>
      <c r="E202" t="str">
        <f t="shared" si="33"/>
        <v>Q3</v>
      </c>
      <c r="F202">
        <f t="shared" si="34"/>
        <v>3</v>
      </c>
      <c r="G202">
        <f t="shared" si="35"/>
        <v>2024</v>
      </c>
      <c r="H202" t="str">
        <f t="shared" si="36"/>
        <v>2024-Jul</v>
      </c>
      <c r="I202" t="str">
        <f t="shared" si="37"/>
        <v>Fri</v>
      </c>
      <c r="J202" t="str">
        <f t="shared" si="38"/>
        <v>Weekday</v>
      </c>
    </row>
    <row r="203" spans="1:10" x14ac:dyDescent="0.25">
      <c r="A203" s="1">
        <f t="shared" si="39"/>
        <v>45493</v>
      </c>
      <c r="B203">
        <f t="shared" si="30"/>
        <v>20</v>
      </c>
      <c r="C203">
        <f t="shared" si="31"/>
        <v>7</v>
      </c>
      <c r="D203" t="str">
        <f t="shared" si="32"/>
        <v>Jul</v>
      </c>
      <c r="E203" t="str">
        <f t="shared" si="33"/>
        <v>Q3</v>
      </c>
      <c r="F203">
        <f t="shared" si="34"/>
        <v>3</v>
      </c>
      <c r="G203">
        <f t="shared" si="35"/>
        <v>2024</v>
      </c>
      <c r="H203" t="str">
        <f t="shared" si="36"/>
        <v>2024-Jul</v>
      </c>
      <c r="I203" t="str">
        <f t="shared" si="37"/>
        <v>Sat</v>
      </c>
      <c r="J203" t="str">
        <f t="shared" si="38"/>
        <v>Weekend</v>
      </c>
    </row>
    <row r="204" spans="1:10" x14ac:dyDescent="0.25">
      <c r="A204" s="1">
        <f t="shared" si="39"/>
        <v>45494</v>
      </c>
      <c r="B204">
        <f t="shared" si="30"/>
        <v>21</v>
      </c>
      <c r="C204">
        <f t="shared" si="31"/>
        <v>7</v>
      </c>
      <c r="D204" t="str">
        <f t="shared" si="32"/>
        <v>Jul</v>
      </c>
      <c r="E204" t="str">
        <f t="shared" si="33"/>
        <v>Q3</v>
      </c>
      <c r="F204">
        <f t="shared" si="34"/>
        <v>3</v>
      </c>
      <c r="G204">
        <f t="shared" si="35"/>
        <v>2024</v>
      </c>
      <c r="H204" t="str">
        <f t="shared" si="36"/>
        <v>2024-Jul</v>
      </c>
      <c r="I204" t="str">
        <f t="shared" si="37"/>
        <v>Sun</v>
      </c>
      <c r="J204" t="str">
        <f t="shared" si="38"/>
        <v>Weekend</v>
      </c>
    </row>
    <row r="205" spans="1:10" x14ac:dyDescent="0.25">
      <c r="A205" s="1">
        <f t="shared" si="39"/>
        <v>45495</v>
      </c>
      <c r="B205">
        <f t="shared" si="30"/>
        <v>22</v>
      </c>
      <c r="C205">
        <f t="shared" si="31"/>
        <v>7</v>
      </c>
      <c r="D205" t="str">
        <f t="shared" si="32"/>
        <v>Jul</v>
      </c>
      <c r="E205" t="str">
        <f t="shared" si="33"/>
        <v>Q3</v>
      </c>
      <c r="F205">
        <f t="shared" si="34"/>
        <v>3</v>
      </c>
      <c r="G205">
        <f t="shared" si="35"/>
        <v>2024</v>
      </c>
      <c r="H205" t="str">
        <f t="shared" si="36"/>
        <v>2024-Jul</v>
      </c>
      <c r="I205" t="str">
        <f t="shared" si="37"/>
        <v>Mon</v>
      </c>
      <c r="J205" t="str">
        <f t="shared" si="38"/>
        <v>Weekday</v>
      </c>
    </row>
    <row r="206" spans="1:10" x14ac:dyDescent="0.25">
      <c r="A206" s="1">
        <f t="shared" si="39"/>
        <v>45496</v>
      </c>
      <c r="B206">
        <f t="shared" si="30"/>
        <v>23</v>
      </c>
      <c r="C206">
        <f t="shared" si="31"/>
        <v>7</v>
      </c>
      <c r="D206" t="str">
        <f t="shared" si="32"/>
        <v>Jul</v>
      </c>
      <c r="E206" t="str">
        <f t="shared" si="33"/>
        <v>Q3</v>
      </c>
      <c r="F206">
        <f t="shared" si="34"/>
        <v>3</v>
      </c>
      <c r="G206">
        <f t="shared" si="35"/>
        <v>2024</v>
      </c>
      <c r="H206" t="str">
        <f t="shared" si="36"/>
        <v>2024-Jul</v>
      </c>
      <c r="I206" t="str">
        <f t="shared" si="37"/>
        <v>Tue</v>
      </c>
      <c r="J206" t="str">
        <f t="shared" si="38"/>
        <v>Weekday</v>
      </c>
    </row>
    <row r="207" spans="1:10" x14ac:dyDescent="0.25">
      <c r="A207" s="1">
        <f t="shared" si="39"/>
        <v>45497</v>
      </c>
      <c r="B207">
        <f t="shared" si="30"/>
        <v>24</v>
      </c>
      <c r="C207">
        <f t="shared" si="31"/>
        <v>7</v>
      </c>
      <c r="D207" t="str">
        <f t="shared" si="32"/>
        <v>Jul</v>
      </c>
      <c r="E207" t="str">
        <f t="shared" si="33"/>
        <v>Q3</v>
      </c>
      <c r="F207">
        <f t="shared" si="34"/>
        <v>3</v>
      </c>
      <c r="G207">
        <f t="shared" si="35"/>
        <v>2024</v>
      </c>
      <c r="H207" t="str">
        <f t="shared" si="36"/>
        <v>2024-Jul</v>
      </c>
      <c r="I207" t="str">
        <f t="shared" si="37"/>
        <v>Wed</v>
      </c>
      <c r="J207" t="str">
        <f t="shared" si="38"/>
        <v>Weekday</v>
      </c>
    </row>
    <row r="208" spans="1:10" x14ac:dyDescent="0.25">
      <c r="A208" s="1">
        <f t="shared" si="39"/>
        <v>45498</v>
      </c>
      <c r="B208">
        <f t="shared" si="30"/>
        <v>25</v>
      </c>
      <c r="C208">
        <f t="shared" si="31"/>
        <v>7</v>
      </c>
      <c r="D208" t="str">
        <f t="shared" si="32"/>
        <v>Jul</v>
      </c>
      <c r="E208" t="str">
        <f t="shared" si="33"/>
        <v>Q3</v>
      </c>
      <c r="F208">
        <f t="shared" si="34"/>
        <v>3</v>
      </c>
      <c r="G208">
        <f t="shared" si="35"/>
        <v>2024</v>
      </c>
      <c r="H208" t="str">
        <f t="shared" si="36"/>
        <v>2024-Jul</v>
      </c>
      <c r="I208" t="str">
        <f t="shared" si="37"/>
        <v>Thu</v>
      </c>
      <c r="J208" t="str">
        <f t="shared" si="38"/>
        <v>Weekday</v>
      </c>
    </row>
    <row r="209" spans="1:10" x14ac:dyDescent="0.25">
      <c r="A209" s="1">
        <f t="shared" si="39"/>
        <v>45499</v>
      </c>
      <c r="B209">
        <f t="shared" si="30"/>
        <v>26</v>
      </c>
      <c r="C209">
        <f t="shared" si="31"/>
        <v>7</v>
      </c>
      <c r="D209" t="str">
        <f t="shared" si="32"/>
        <v>Jul</v>
      </c>
      <c r="E209" t="str">
        <f t="shared" si="33"/>
        <v>Q3</v>
      </c>
      <c r="F209">
        <f t="shared" si="34"/>
        <v>3</v>
      </c>
      <c r="G209">
        <f t="shared" si="35"/>
        <v>2024</v>
      </c>
      <c r="H209" t="str">
        <f t="shared" si="36"/>
        <v>2024-Jul</v>
      </c>
      <c r="I209" t="str">
        <f t="shared" si="37"/>
        <v>Fri</v>
      </c>
      <c r="J209" t="str">
        <f t="shared" si="38"/>
        <v>Weekday</v>
      </c>
    </row>
    <row r="210" spans="1:10" x14ac:dyDescent="0.25">
      <c r="A210" s="1">
        <f t="shared" si="39"/>
        <v>45500</v>
      </c>
      <c r="B210">
        <f t="shared" si="30"/>
        <v>27</v>
      </c>
      <c r="C210">
        <f t="shared" si="31"/>
        <v>7</v>
      </c>
      <c r="D210" t="str">
        <f t="shared" si="32"/>
        <v>Jul</v>
      </c>
      <c r="E210" t="str">
        <f t="shared" si="33"/>
        <v>Q3</v>
      </c>
      <c r="F210">
        <f t="shared" si="34"/>
        <v>3</v>
      </c>
      <c r="G210">
        <f t="shared" si="35"/>
        <v>2024</v>
      </c>
      <c r="H210" t="str">
        <f t="shared" si="36"/>
        <v>2024-Jul</v>
      </c>
      <c r="I210" t="str">
        <f t="shared" si="37"/>
        <v>Sat</v>
      </c>
      <c r="J210" t="str">
        <f t="shared" si="38"/>
        <v>Weekend</v>
      </c>
    </row>
    <row r="211" spans="1:10" x14ac:dyDescent="0.25">
      <c r="A211" s="1">
        <f t="shared" si="39"/>
        <v>45501</v>
      </c>
      <c r="B211">
        <f t="shared" si="30"/>
        <v>28</v>
      </c>
      <c r="C211">
        <f t="shared" si="31"/>
        <v>7</v>
      </c>
      <c r="D211" t="str">
        <f t="shared" si="32"/>
        <v>Jul</v>
      </c>
      <c r="E211" t="str">
        <f t="shared" si="33"/>
        <v>Q3</v>
      </c>
      <c r="F211">
        <f t="shared" si="34"/>
        <v>3</v>
      </c>
      <c r="G211">
        <f t="shared" si="35"/>
        <v>2024</v>
      </c>
      <c r="H211" t="str">
        <f t="shared" si="36"/>
        <v>2024-Jul</v>
      </c>
      <c r="I211" t="str">
        <f t="shared" si="37"/>
        <v>Sun</v>
      </c>
      <c r="J211" t="str">
        <f t="shared" si="38"/>
        <v>Weekend</v>
      </c>
    </row>
    <row r="212" spans="1:10" x14ac:dyDescent="0.25">
      <c r="A212" s="1">
        <f t="shared" si="39"/>
        <v>45502</v>
      </c>
      <c r="B212">
        <f t="shared" si="30"/>
        <v>29</v>
      </c>
      <c r="C212">
        <f t="shared" si="31"/>
        <v>7</v>
      </c>
      <c r="D212" t="str">
        <f t="shared" si="32"/>
        <v>Jul</v>
      </c>
      <c r="E212" t="str">
        <f t="shared" si="33"/>
        <v>Q3</v>
      </c>
      <c r="F212">
        <f t="shared" si="34"/>
        <v>3</v>
      </c>
      <c r="G212">
        <f t="shared" si="35"/>
        <v>2024</v>
      </c>
      <c r="H212" t="str">
        <f t="shared" si="36"/>
        <v>2024-Jul</v>
      </c>
      <c r="I212" t="str">
        <f t="shared" si="37"/>
        <v>Mon</v>
      </c>
      <c r="J212" t="str">
        <f t="shared" si="38"/>
        <v>Weekday</v>
      </c>
    </row>
    <row r="213" spans="1:10" x14ac:dyDescent="0.25">
      <c r="A213" s="1">
        <f t="shared" si="39"/>
        <v>45503</v>
      </c>
      <c r="B213">
        <f t="shared" si="30"/>
        <v>30</v>
      </c>
      <c r="C213">
        <f t="shared" si="31"/>
        <v>7</v>
      </c>
      <c r="D213" t="str">
        <f t="shared" si="32"/>
        <v>Jul</v>
      </c>
      <c r="E213" t="str">
        <f t="shared" si="33"/>
        <v>Q3</v>
      </c>
      <c r="F213">
        <f t="shared" si="34"/>
        <v>3</v>
      </c>
      <c r="G213">
        <f t="shared" si="35"/>
        <v>2024</v>
      </c>
      <c r="H213" t="str">
        <f t="shared" si="36"/>
        <v>2024-Jul</v>
      </c>
      <c r="I213" t="str">
        <f t="shared" si="37"/>
        <v>Tue</v>
      </c>
      <c r="J213" t="str">
        <f t="shared" si="38"/>
        <v>Weekday</v>
      </c>
    </row>
    <row r="214" spans="1:10" x14ac:dyDescent="0.25">
      <c r="A214" s="1">
        <f t="shared" si="39"/>
        <v>45504</v>
      </c>
      <c r="B214">
        <f t="shared" si="30"/>
        <v>31</v>
      </c>
      <c r="C214">
        <f t="shared" si="31"/>
        <v>7</v>
      </c>
      <c r="D214" t="str">
        <f t="shared" si="32"/>
        <v>Jul</v>
      </c>
      <c r="E214" t="str">
        <f t="shared" si="33"/>
        <v>Q3</v>
      </c>
      <c r="F214">
        <f t="shared" si="34"/>
        <v>3</v>
      </c>
      <c r="G214">
        <f t="shared" si="35"/>
        <v>2024</v>
      </c>
      <c r="H214" t="str">
        <f t="shared" si="36"/>
        <v>2024-Jul</v>
      </c>
      <c r="I214" t="str">
        <f t="shared" si="37"/>
        <v>Wed</v>
      </c>
      <c r="J214" t="str">
        <f t="shared" si="38"/>
        <v>Weekday</v>
      </c>
    </row>
    <row r="215" spans="1:10" x14ac:dyDescent="0.25">
      <c r="A215" s="1">
        <f t="shared" si="39"/>
        <v>45505</v>
      </c>
      <c r="B215">
        <f t="shared" si="30"/>
        <v>1</v>
      </c>
      <c r="C215">
        <f t="shared" si="31"/>
        <v>8</v>
      </c>
      <c r="D215" t="str">
        <f t="shared" si="32"/>
        <v>Aug</v>
      </c>
      <c r="E215" t="str">
        <f t="shared" si="33"/>
        <v>Q3</v>
      </c>
      <c r="F215">
        <f t="shared" si="34"/>
        <v>3</v>
      </c>
      <c r="G215">
        <f t="shared" si="35"/>
        <v>2024</v>
      </c>
      <c r="H215" t="str">
        <f t="shared" si="36"/>
        <v>2024-Aug</v>
      </c>
      <c r="I215" t="str">
        <f t="shared" si="37"/>
        <v>Thu</v>
      </c>
      <c r="J215" t="str">
        <f t="shared" si="38"/>
        <v>Weekday</v>
      </c>
    </row>
    <row r="216" spans="1:10" x14ac:dyDescent="0.25">
      <c r="A216" s="1">
        <f t="shared" si="39"/>
        <v>45506</v>
      </c>
      <c r="B216">
        <f t="shared" si="30"/>
        <v>2</v>
      </c>
      <c r="C216">
        <f t="shared" si="31"/>
        <v>8</v>
      </c>
      <c r="D216" t="str">
        <f t="shared" si="32"/>
        <v>Aug</v>
      </c>
      <c r="E216" t="str">
        <f t="shared" si="33"/>
        <v>Q3</v>
      </c>
      <c r="F216">
        <f t="shared" si="34"/>
        <v>3</v>
      </c>
      <c r="G216">
        <f t="shared" si="35"/>
        <v>2024</v>
      </c>
      <c r="H216" t="str">
        <f t="shared" si="36"/>
        <v>2024-Aug</v>
      </c>
      <c r="I216" t="str">
        <f t="shared" si="37"/>
        <v>Fri</v>
      </c>
      <c r="J216" t="str">
        <f t="shared" si="38"/>
        <v>Weekday</v>
      </c>
    </row>
    <row r="217" spans="1:10" x14ac:dyDescent="0.25">
      <c r="A217" s="1">
        <f t="shared" si="39"/>
        <v>45507</v>
      </c>
      <c r="B217">
        <f t="shared" si="30"/>
        <v>3</v>
      </c>
      <c r="C217">
        <f t="shared" si="31"/>
        <v>8</v>
      </c>
      <c r="D217" t="str">
        <f t="shared" si="32"/>
        <v>Aug</v>
      </c>
      <c r="E217" t="str">
        <f t="shared" si="33"/>
        <v>Q3</v>
      </c>
      <c r="F217">
        <f t="shared" si="34"/>
        <v>3</v>
      </c>
      <c r="G217">
        <f t="shared" si="35"/>
        <v>2024</v>
      </c>
      <c r="H217" t="str">
        <f t="shared" si="36"/>
        <v>2024-Aug</v>
      </c>
      <c r="I217" t="str">
        <f t="shared" si="37"/>
        <v>Sat</v>
      </c>
      <c r="J217" t="str">
        <f t="shared" si="38"/>
        <v>Weekend</v>
      </c>
    </row>
    <row r="218" spans="1:10" x14ac:dyDescent="0.25">
      <c r="A218" s="1">
        <f t="shared" si="39"/>
        <v>45508</v>
      </c>
      <c r="B218">
        <f t="shared" si="30"/>
        <v>4</v>
      </c>
      <c r="C218">
        <f t="shared" si="31"/>
        <v>8</v>
      </c>
      <c r="D218" t="str">
        <f t="shared" si="32"/>
        <v>Aug</v>
      </c>
      <c r="E218" t="str">
        <f t="shared" si="33"/>
        <v>Q3</v>
      </c>
      <c r="F218">
        <f t="shared" si="34"/>
        <v>3</v>
      </c>
      <c r="G218">
        <f t="shared" si="35"/>
        <v>2024</v>
      </c>
      <c r="H218" t="str">
        <f t="shared" si="36"/>
        <v>2024-Aug</v>
      </c>
      <c r="I218" t="str">
        <f t="shared" si="37"/>
        <v>Sun</v>
      </c>
      <c r="J218" t="str">
        <f t="shared" si="38"/>
        <v>Weekend</v>
      </c>
    </row>
    <row r="219" spans="1:10" x14ac:dyDescent="0.25">
      <c r="A219" s="1">
        <f t="shared" si="39"/>
        <v>45509</v>
      </c>
      <c r="B219">
        <f t="shared" si="30"/>
        <v>5</v>
      </c>
      <c r="C219">
        <f t="shared" si="31"/>
        <v>8</v>
      </c>
      <c r="D219" t="str">
        <f t="shared" si="32"/>
        <v>Aug</v>
      </c>
      <c r="E219" t="str">
        <f t="shared" si="33"/>
        <v>Q3</v>
      </c>
      <c r="F219">
        <f t="shared" si="34"/>
        <v>3</v>
      </c>
      <c r="G219">
        <f t="shared" si="35"/>
        <v>2024</v>
      </c>
      <c r="H219" t="str">
        <f t="shared" si="36"/>
        <v>2024-Aug</v>
      </c>
      <c r="I219" t="str">
        <f t="shared" si="37"/>
        <v>Mon</v>
      </c>
      <c r="J219" t="str">
        <f t="shared" si="38"/>
        <v>Weekday</v>
      </c>
    </row>
    <row r="220" spans="1:10" x14ac:dyDescent="0.25">
      <c r="A220" s="1">
        <f t="shared" si="39"/>
        <v>45510</v>
      </c>
      <c r="B220">
        <f t="shared" si="30"/>
        <v>6</v>
      </c>
      <c r="C220">
        <f t="shared" si="31"/>
        <v>8</v>
      </c>
      <c r="D220" t="str">
        <f t="shared" si="32"/>
        <v>Aug</v>
      </c>
      <c r="E220" t="str">
        <f t="shared" si="33"/>
        <v>Q3</v>
      </c>
      <c r="F220">
        <f t="shared" si="34"/>
        <v>3</v>
      </c>
      <c r="G220">
        <f t="shared" si="35"/>
        <v>2024</v>
      </c>
      <c r="H220" t="str">
        <f t="shared" si="36"/>
        <v>2024-Aug</v>
      </c>
      <c r="I220" t="str">
        <f t="shared" si="37"/>
        <v>Tue</v>
      </c>
      <c r="J220" t="str">
        <f t="shared" si="38"/>
        <v>Weekday</v>
      </c>
    </row>
    <row r="221" spans="1:10" x14ac:dyDescent="0.25">
      <c r="A221" s="1">
        <f t="shared" si="39"/>
        <v>45511</v>
      </c>
      <c r="B221">
        <f t="shared" si="30"/>
        <v>7</v>
      </c>
      <c r="C221">
        <f t="shared" si="31"/>
        <v>8</v>
      </c>
      <c r="D221" t="str">
        <f t="shared" si="32"/>
        <v>Aug</v>
      </c>
      <c r="E221" t="str">
        <f t="shared" si="33"/>
        <v>Q3</v>
      </c>
      <c r="F221">
        <f t="shared" si="34"/>
        <v>3</v>
      </c>
      <c r="G221">
        <f t="shared" si="35"/>
        <v>2024</v>
      </c>
      <c r="H221" t="str">
        <f t="shared" si="36"/>
        <v>2024-Aug</v>
      </c>
      <c r="I221" t="str">
        <f t="shared" si="37"/>
        <v>Wed</v>
      </c>
      <c r="J221" t="str">
        <f t="shared" si="38"/>
        <v>Weekday</v>
      </c>
    </row>
    <row r="222" spans="1:10" x14ac:dyDescent="0.25">
      <c r="A222" s="1">
        <f t="shared" si="39"/>
        <v>45512</v>
      </c>
      <c r="B222">
        <f t="shared" si="30"/>
        <v>8</v>
      </c>
      <c r="C222">
        <f t="shared" si="31"/>
        <v>8</v>
      </c>
      <c r="D222" t="str">
        <f t="shared" si="32"/>
        <v>Aug</v>
      </c>
      <c r="E222" t="str">
        <f t="shared" si="33"/>
        <v>Q3</v>
      </c>
      <c r="F222">
        <f t="shared" si="34"/>
        <v>3</v>
      </c>
      <c r="G222">
        <f t="shared" si="35"/>
        <v>2024</v>
      </c>
      <c r="H222" t="str">
        <f t="shared" si="36"/>
        <v>2024-Aug</v>
      </c>
      <c r="I222" t="str">
        <f t="shared" si="37"/>
        <v>Thu</v>
      </c>
      <c r="J222" t="str">
        <f t="shared" si="38"/>
        <v>Weekday</v>
      </c>
    </row>
    <row r="223" spans="1:10" x14ac:dyDescent="0.25">
      <c r="A223" s="1">
        <f t="shared" si="39"/>
        <v>45513</v>
      </c>
      <c r="B223">
        <f t="shared" si="30"/>
        <v>9</v>
      </c>
      <c r="C223">
        <f t="shared" si="31"/>
        <v>8</v>
      </c>
      <c r="D223" t="str">
        <f t="shared" si="32"/>
        <v>Aug</v>
      </c>
      <c r="E223" t="str">
        <f t="shared" si="33"/>
        <v>Q3</v>
      </c>
      <c r="F223">
        <f t="shared" si="34"/>
        <v>3</v>
      </c>
      <c r="G223">
        <f t="shared" si="35"/>
        <v>2024</v>
      </c>
      <c r="H223" t="str">
        <f t="shared" si="36"/>
        <v>2024-Aug</v>
      </c>
      <c r="I223" t="str">
        <f t="shared" si="37"/>
        <v>Fri</v>
      </c>
      <c r="J223" t="str">
        <f t="shared" si="38"/>
        <v>Weekday</v>
      </c>
    </row>
    <row r="224" spans="1:10" x14ac:dyDescent="0.25">
      <c r="A224" s="1">
        <f t="shared" si="39"/>
        <v>45514</v>
      </c>
      <c r="B224">
        <f t="shared" si="30"/>
        <v>10</v>
      </c>
      <c r="C224">
        <f t="shared" si="31"/>
        <v>8</v>
      </c>
      <c r="D224" t="str">
        <f t="shared" si="32"/>
        <v>Aug</v>
      </c>
      <c r="E224" t="str">
        <f t="shared" si="33"/>
        <v>Q3</v>
      </c>
      <c r="F224">
        <f t="shared" si="34"/>
        <v>3</v>
      </c>
      <c r="G224">
        <f t="shared" si="35"/>
        <v>2024</v>
      </c>
      <c r="H224" t="str">
        <f t="shared" si="36"/>
        <v>2024-Aug</v>
      </c>
      <c r="I224" t="str">
        <f t="shared" si="37"/>
        <v>Sat</v>
      </c>
      <c r="J224" t="str">
        <f t="shared" si="38"/>
        <v>Weekend</v>
      </c>
    </row>
    <row r="225" spans="1:10" x14ac:dyDescent="0.25">
      <c r="A225" s="1">
        <f t="shared" si="39"/>
        <v>45515</v>
      </c>
      <c r="B225">
        <f t="shared" si="30"/>
        <v>11</v>
      </c>
      <c r="C225">
        <f t="shared" si="31"/>
        <v>8</v>
      </c>
      <c r="D225" t="str">
        <f t="shared" si="32"/>
        <v>Aug</v>
      </c>
      <c r="E225" t="str">
        <f t="shared" si="33"/>
        <v>Q3</v>
      </c>
      <c r="F225">
        <f t="shared" si="34"/>
        <v>3</v>
      </c>
      <c r="G225">
        <f t="shared" si="35"/>
        <v>2024</v>
      </c>
      <c r="H225" t="str">
        <f t="shared" si="36"/>
        <v>2024-Aug</v>
      </c>
      <c r="I225" t="str">
        <f t="shared" si="37"/>
        <v>Sun</v>
      </c>
      <c r="J225" t="str">
        <f t="shared" si="38"/>
        <v>Weekend</v>
      </c>
    </row>
    <row r="226" spans="1:10" x14ac:dyDescent="0.25">
      <c r="A226" s="1">
        <f t="shared" si="39"/>
        <v>45516</v>
      </c>
      <c r="B226">
        <f t="shared" si="30"/>
        <v>12</v>
      </c>
      <c r="C226">
        <f t="shared" si="31"/>
        <v>8</v>
      </c>
      <c r="D226" t="str">
        <f t="shared" si="32"/>
        <v>Aug</v>
      </c>
      <c r="E226" t="str">
        <f t="shared" si="33"/>
        <v>Q3</v>
      </c>
      <c r="F226">
        <f t="shared" si="34"/>
        <v>3</v>
      </c>
      <c r="G226">
        <f t="shared" si="35"/>
        <v>2024</v>
      </c>
      <c r="H226" t="str">
        <f t="shared" si="36"/>
        <v>2024-Aug</v>
      </c>
      <c r="I226" t="str">
        <f t="shared" si="37"/>
        <v>Mon</v>
      </c>
      <c r="J226" t="str">
        <f t="shared" si="38"/>
        <v>Weekday</v>
      </c>
    </row>
    <row r="227" spans="1:10" x14ac:dyDescent="0.25">
      <c r="A227" s="1">
        <f t="shared" si="39"/>
        <v>45517</v>
      </c>
      <c r="B227">
        <f t="shared" si="30"/>
        <v>13</v>
      </c>
      <c r="C227">
        <f t="shared" si="31"/>
        <v>8</v>
      </c>
      <c r="D227" t="str">
        <f t="shared" si="32"/>
        <v>Aug</v>
      </c>
      <c r="E227" t="str">
        <f t="shared" si="33"/>
        <v>Q3</v>
      </c>
      <c r="F227">
        <f t="shared" si="34"/>
        <v>3</v>
      </c>
      <c r="G227">
        <f t="shared" si="35"/>
        <v>2024</v>
      </c>
      <c r="H227" t="str">
        <f t="shared" si="36"/>
        <v>2024-Aug</v>
      </c>
      <c r="I227" t="str">
        <f t="shared" si="37"/>
        <v>Tue</v>
      </c>
      <c r="J227" t="str">
        <f t="shared" si="38"/>
        <v>Weekday</v>
      </c>
    </row>
    <row r="228" spans="1:10" x14ac:dyDescent="0.25">
      <c r="A228" s="1">
        <f t="shared" si="39"/>
        <v>45518</v>
      </c>
      <c r="B228">
        <f t="shared" si="30"/>
        <v>14</v>
      </c>
      <c r="C228">
        <f t="shared" si="31"/>
        <v>8</v>
      </c>
      <c r="D228" t="str">
        <f t="shared" si="32"/>
        <v>Aug</v>
      </c>
      <c r="E228" t="str">
        <f t="shared" si="33"/>
        <v>Q3</v>
      </c>
      <c r="F228">
        <f t="shared" si="34"/>
        <v>3</v>
      </c>
      <c r="G228">
        <f t="shared" si="35"/>
        <v>2024</v>
      </c>
      <c r="H228" t="str">
        <f t="shared" si="36"/>
        <v>2024-Aug</v>
      </c>
      <c r="I228" t="str">
        <f t="shared" si="37"/>
        <v>Wed</v>
      </c>
      <c r="J228" t="str">
        <f t="shared" si="38"/>
        <v>Weekday</v>
      </c>
    </row>
    <row r="229" spans="1:10" x14ac:dyDescent="0.25">
      <c r="A229" s="1">
        <f t="shared" si="39"/>
        <v>45519</v>
      </c>
      <c r="B229">
        <f t="shared" si="30"/>
        <v>15</v>
      </c>
      <c r="C229">
        <f t="shared" si="31"/>
        <v>8</v>
      </c>
      <c r="D229" t="str">
        <f t="shared" si="32"/>
        <v>Aug</v>
      </c>
      <c r="E229" t="str">
        <f t="shared" si="33"/>
        <v>Q3</v>
      </c>
      <c r="F229">
        <f t="shared" si="34"/>
        <v>3</v>
      </c>
      <c r="G229">
        <f t="shared" si="35"/>
        <v>2024</v>
      </c>
      <c r="H229" t="str">
        <f t="shared" si="36"/>
        <v>2024-Aug</v>
      </c>
      <c r="I229" t="str">
        <f t="shared" si="37"/>
        <v>Thu</v>
      </c>
      <c r="J229" t="str">
        <f t="shared" si="38"/>
        <v>Weekday</v>
      </c>
    </row>
    <row r="230" spans="1:10" x14ac:dyDescent="0.25">
      <c r="A230" s="1">
        <f t="shared" si="39"/>
        <v>45520</v>
      </c>
      <c r="B230">
        <f t="shared" si="30"/>
        <v>16</v>
      </c>
      <c r="C230">
        <f t="shared" si="31"/>
        <v>8</v>
      </c>
      <c r="D230" t="str">
        <f t="shared" si="32"/>
        <v>Aug</v>
      </c>
      <c r="E230" t="str">
        <f t="shared" si="33"/>
        <v>Q3</v>
      </c>
      <c r="F230">
        <f t="shared" si="34"/>
        <v>3</v>
      </c>
      <c r="G230">
        <f t="shared" si="35"/>
        <v>2024</v>
      </c>
      <c r="H230" t="str">
        <f t="shared" si="36"/>
        <v>2024-Aug</v>
      </c>
      <c r="I230" t="str">
        <f t="shared" si="37"/>
        <v>Fri</v>
      </c>
      <c r="J230" t="str">
        <f t="shared" si="38"/>
        <v>Weekday</v>
      </c>
    </row>
    <row r="231" spans="1:10" x14ac:dyDescent="0.25">
      <c r="A231" s="1">
        <f t="shared" si="39"/>
        <v>45521</v>
      </c>
      <c r="B231">
        <f t="shared" si="30"/>
        <v>17</v>
      </c>
      <c r="C231">
        <f t="shared" si="31"/>
        <v>8</v>
      </c>
      <c r="D231" t="str">
        <f t="shared" si="32"/>
        <v>Aug</v>
      </c>
      <c r="E231" t="str">
        <f t="shared" si="33"/>
        <v>Q3</v>
      </c>
      <c r="F231">
        <f t="shared" si="34"/>
        <v>3</v>
      </c>
      <c r="G231">
        <f t="shared" si="35"/>
        <v>2024</v>
      </c>
      <c r="H231" t="str">
        <f t="shared" si="36"/>
        <v>2024-Aug</v>
      </c>
      <c r="I231" t="str">
        <f t="shared" si="37"/>
        <v>Sat</v>
      </c>
      <c r="J231" t="str">
        <f t="shared" si="38"/>
        <v>Weekend</v>
      </c>
    </row>
    <row r="232" spans="1:10" x14ac:dyDescent="0.25">
      <c r="A232" s="1">
        <f t="shared" si="39"/>
        <v>45522</v>
      </c>
      <c r="B232">
        <f t="shared" si="30"/>
        <v>18</v>
      </c>
      <c r="C232">
        <f t="shared" si="31"/>
        <v>8</v>
      </c>
      <c r="D232" t="str">
        <f t="shared" si="32"/>
        <v>Aug</v>
      </c>
      <c r="E232" t="str">
        <f t="shared" si="33"/>
        <v>Q3</v>
      </c>
      <c r="F232">
        <f t="shared" si="34"/>
        <v>3</v>
      </c>
      <c r="G232">
        <f t="shared" si="35"/>
        <v>2024</v>
      </c>
      <c r="H232" t="str">
        <f t="shared" si="36"/>
        <v>2024-Aug</v>
      </c>
      <c r="I232" t="str">
        <f t="shared" si="37"/>
        <v>Sun</v>
      </c>
      <c r="J232" t="str">
        <f t="shared" si="38"/>
        <v>Weekend</v>
      </c>
    </row>
    <row r="233" spans="1:10" x14ac:dyDescent="0.25">
      <c r="A233" s="1">
        <f t="shared" si="39"/>
        <v>45523</v>
      </c>
      <c r="B233">
        <f t="shared" si="30"/>
        <v>19</v>
      </c>
      <c r="C233">
        <f t="shared" si="31"/>
        <v>8</v>
      </c>
      <c r="D233" t="str">
        <f t="shared" si="32"/>
        <v>Aug</v>
      </c>
      <c r="E233" t="str">
        <f t="shared" si="33"/>
        <v>Q3</v>
      </c>
      <c r="F233">
        <f t="shared" si="34"/>
        <v>3</v>
      </c>
      <c r="G233">
        <f t="shared" si="35"/>
        <v>2024</v>
      </c>
      <c r="H233" t="str">
        <f t="shared" si="36"/>
        <v>2024-Aug</v>
      </c>
      <c r="I233" t="str">
        <f t="shared" si="37"/>
        <v>Mon</v>
      </c>
      <c r="J233" t="str">
        <f t="shared" si="38"/>
        <v>Weekday</v>
      </c>
    </row>
    <row r="234" spans="1:10" x14ac:dyDescent="0.25">
      <c r="A234" s="1">
        <f t="shared" si="39"/>
        <v>45524</v>
      </c>
      <c r="B234">
        <f t="shared" si="30"/>
        <v>20</v>
      </c>
      <c r="C234">
        <f t="shared" si="31"/>
        <v>8</v>
      </c>
      <c r="D234" t="str">
        <f t="shared" si="32"/>
        <v>Aug</v>
      </c>
      <c r="E234" t="str">
        <f t="shared" si="33"/>
        <v>Q3</v>
      </c>
      <c r="F234">
        <f t="shared" si="34"/>
        <v>3</v>
      </c>
      <c r="G234">
        <f t="shared" si="35"/>
        <v>2024</v>
      </c>
      <c r="H234" t="str">
        <f t="shared" si="36"/>
        <v>2024-Aug</v>
      </c>
      <c r="I234" t="str">
        <f t="shared" si="37"/>
        <v>Tue</v>
      </c>
      <c r="J234" t="str">
        <f t="shared" si="38"/>
        <v>Weekday</v>
      </c>
    </row>
    <row r="235" spans="1:10" x14ac:dyDescent="0.25">
      <c r="A235" s="1">
        <f t="shared" si="39"/>
        <v>45525</v>
      </c>
      <c r="B235">
        <f t="shared" si="30"/>
        <v>21</v>
      </c>
      <c r="C235">
        <f t="shared" si="31"/>
        <v>8</v>
      </c>
      <c r="D235" t="str">
        <f t="shared" si="32"/>
        <v>Aug</v>
      </c>
      <c r="E235" t="str">
        <f t="shared" si="33"/>
        <v>Q3</v>
      </c>
      <c r="F235">
        <f t="shared" si="34"/>
        <v>3</v>
      </c>
      <c r="G235">
        <f t="shared" si="35"/>
        <v>2024</v>
      </c>
      <c r="H235" t="str">
        <f t="shared" si="36"/>
        <v>2024-Aug</v>
      </c>
      <c r="I235" t="str">
        <f t="shared" si="37"/>
        <v>Wed</v>
      </c>
      <c r="J235" t="str">
        <f t="shared" si="38"/>
        <v>Weekday</v>
      </c>
    </row>
    <row r="236" spans="1:10" x14ac:dyDescent="0.25">
      <c r="A236" s="1">
        <f t="shared" si="39"/>
        <v>45526</v>
      </c>
      <c r="B236">
        <f t="shared" si="30"/>
        <v>22</v>
      </c>
      <c r="C236">
        <f t="shared" si="31"/>
        <v>8</v>
      </c>
      <c r="D236" t="str">
        <f t="shared" si="32"/>
        <v>Aug</v>
      </c>
      <c r="E236" t="str">
        <f t="shared" si="33"/>
        <v>Q3</v>
      </c>
      <c r="F236">
        <f t="shared" si="34"/>
        <v>3</v>
      </c>
      <c r="G236">
        <f t="shared" si="35"/>
        <v>2024</v>
      </c>
      <c r="H236" t="str">
        <f t="shared" si="36"/>
        <v>2024-Aug</v>
      </c>
      <c r="I236" t="str">
        <f t="shared" si="37"/>
        <v>Thu</v>
      </c>
      <c r="J236" t="str">
        <f t="shared" si="38"/>
        <v>Weekday</v>
      </c>
    </row>
    <row r="237" spans="1:10" x14ac:dyDescent="0.25">
      <c r="A237" s="1">
        <f t="shared" si="39"/>
        <v>45527</v>
      </c>
      <c r="B237">
        <f t="shared" si="30"/>
        <v>23</v>
      </c>
      <c r="C237">
        <f t="shared" si="31"/>
        <v>8</v>
      </c>
      <c r="D237" t="str">
        <f t="shared" si="32"/>
        <v>Aug</v>
      </c>
      <c r="E237" t="str">
        <f t="shared" si="33"/>
        <v>Q3</v>
      </c>
      <c r="F237">
        <f t="shared" si="34"/>
        <v>3</v>
      </c>
      <c r="G237">
        <f t="shared" si="35"/>
        <v>2024</v>
      </c>
      <c r="H237" t="str">
        <f t="shared" si="36"/>
        <v>2024-Aug</v>
      </c>
      <c r="I237" t="str">
        <f t="shared" si="37"/>
        <v>Fri</v>
      </c>
      <c r="J237" t="str">
        <f t="shared" si="38"/>
        <v>Weekday</v>
      </c>
    </row>
    <row r="238" spans="1:10" x14ac:dyDescent="0.25">
      <c r="A238" s="1">
        <f t="shared" si="39"/>
        <v>45528</v>
      </c>
      <c r="B238">
        <f t="shared" si="30"/>
        <v>24</v>
      </c>
      <c r="C238">
        <f t="shared" si="31"/>
        <v>8</v>
      </c>
      <c r="D238" t="str">
        <f t="shared" si="32"/>
        <v>Aug</v>
      </c>
      <c r="E238" t="str">
        <f t="shared" si="33"/>
        <v>Q3</v>
      </c>
      <c r="F238">
        <f t="shared" si="34"/>
        <v>3</v>
      </c>
      <c r="G238">
        <f t="shared" si="35"/>
        <v>2024</v>
      </c>
      <c r="H238" t="str">
        <f t="shared" si="36"/>
        <v>2024-Aug</v>
      </c>
      <c r="I238" t="str">
        <f t="shared" si="37"/>
        <v>Sat</v>
      </c>
      <c r="J238" t="str">
        <f t="shared" si="38"/>
        <v>Weekend</v>
      </c>
    </row>
    <row r="239" spans="1:10" x14ac:dyDescent="0.25">
      <c r="A239" s="1">
        <f t="shared" si="39"/>
        <v>45529</v>
      </c>
      <c r="B239">
        <f t="shared" si="30"/>
        <v>25</v>
      </c>
      <c r="C239">
        <f t="shared" si="31"/>
        <v>8</v>
      </c>
      <c r="D239" t="str">
        <f t="shared" si="32"/>
        <v>Aug</v>
      </c>
      <c r="E239" t="str">
        <f t="shared" si="33"/>
        <v>Q3</v>
      </c>
      <c r="F239">
        <f t="shared" si="34"/>
        <v>3</v>
      </c>
      <c r="G239">
        <f t="shared" si="35"/>
        <v>2024</v>
      </c>
      <c r="H239" t="str">
        <f t="shared" si="36"/>
        <v>2024-Aug</v>
      </c>
      <c r="I239" t="str">
        <f t="shared" si="37"/>
        <v>Sun</v>
      </c>
      <c r="J239" t="str">
        <f t="shared" si="38"/>
        <v>Weekend</v>
      </c>
    </row>
    <row r="240" spans="1:10" x14ac:dyDescent="0.25">
      <c r="A240" s="1">
        <f t="shared" si="39"/>
        <v>45530</v>
      </c>
      <c r="B240">
        <f t="shared" si="30"/>
        <v>26</v>
      </c>
      <c r="C240">
        <f t="shared" si="31"/>
        <v>8</v>
      </c>
      <c r="D240" t="str">
        <f t="shared" si="32"/>
        <v>Aug</v>
      </c>
      <c r="E240" t="str">
        <f t="shared" si="33"/>
        <v>Q3</v>
      </c>
      <c r="F240">
        <f t="shared" si="34"/>
        <v>3</v>
      </c>
      <c r="G240">
        <f t="shared" si="35"/>
        <v>2024</v>
      </c>
      <c r="H240" t="str">
        <f t="shared" si="36"/>
        <v>2024-Aug</v>
      </c>
      <c r="I240" t="str">
        <f t="shared" si="37"/>
        <v>Mon</v>
      </c>
      <c r="J240" t="str">
        <f t="shared" si="38"/>
        <v>Weekday</v>
      </c>
    </row>
    <row r="241" spans="1:10" x14ac:dyDescent="0.25">
      <c r="A241" s="1">
        <f t="shared" si="39"/>
        <v>45531</v>
      </c>
      <c r="B241">
        <f t="shared" si="30"/>
        <v>27</v>
      </c>
      <c r="C241">
        <f t="shared" si="31"/>
        <v>8</v>
      </c>
      <c r="D241" t="str">
        <f t="shared" si="32"/>
        <v>Aug</v>
      </c>
      <c r="E241" t="str">
        <f t="shared" si="33"/>
        <v>Q3</v>
      </c>
      <c r="F241">
        <f t="shared" si="34"/>
        <v>3</v>
      </c>
      <c r="G241">
        <f t="shared" si="35"/>
        <v>2024</v>
      </c>
      <c r="H241" t="str">
        <f t="shared" si="36"/>
        <v>2024-Aug</v>
      </c>
      <c r="I241" t="str">
        <f t="shared" si="37"/>
        <v>Tue</v>
      </c>
      <c r="J241" t="str">
        <f t="shared" si="38"/>
        <v>Weekday</v>
      </c>
    </row>
    <row r="242" spans="1:10" x14ac:dyDescent="0.25">
      <c r="A242" s="1">
        <f t="shared" si="39"/>
        <v>45532</v>
      </c>
      <c r="B242">
        <f t="shared" si="30"/>
        <v>28</v>
      </c>
      <c r="C242">
        <f t="shared" si="31"/>
        <v>8</v>
      </c>
      <c r="D242" t="str">
        <f t="shared" si="32"/>
        <v>Aug</v>
      </c>
      <c r="E242" t="str">
        <f t="shared" si="33"/>
        <v>Q3</v>
      </c>
      <c r="F242">
        <f t="shared" si="34"/>
        <v>3</v>
      </c>
      <c r="G242">
        <f t="shared" si="35"/>
        <v>2024</v>
      </c>
      <c r="H242" t="str">
        <f t="shared" si="36"/>
        <v>2024-Aug</v>
      </c>
      <c r="I242" t="str">
        <f t="shared" si="37"/>
        <v>Wed</v>
      </c>
      <c r="J242" t="str">
        <f t="shared" si="38"/>
        <v>Weekday</v>
      </c>
    </row>
    <row r="243" spans="1:10" x14ac:dyDescent="0.25">
      <c r="A243" s="1">
        <f t="shared" si="39"/>
        <v>45533</v>
      </c>
      <c r="B243">
        <f t="shared" si="30"/>
        <v>29</v>
      </c>
      <c r="C243">
        <f t="shared" si="31"/>
        <v>8</v>
      </c>
      <c r="D243" t="str">
        <f t="shared" si="32"/>
        <v>Aug</v>
      </c>
      <c r="E243" t="str">
        <f t="shared" si="33"/>
        <v>Q3</v>
      </c>
      <c r="F243">
        <f t="shared" si="34"/>
        <v>3</v>
      </c>
      <c r="G243">
        <f t="shared" si="35"/>
        <v>2024</v>
      </c>
      <c r="H243" t="str">
        <f t="shared" si="36"/>
        <v>2024-Aug</v>
      </c>
      <c r="I243" t="str">
        <f t="shared" si="37"/>
        <v>Thu</v>
      </c>
      <c r="J243" t="str">
        <f t="shared" si="38"/>
        <v>Weekday</v>
      </c>
    </row>
    <row r="244" spans="1:10" x14ac:dyDescent="0.25">
      <c r="A244" s="1">
        <f t="shared" si="39"/>
        <v>45534</v>
      </c>
      <c r="B244">
        <f t="shared" si="30"/>
        <v>30</v>
      </c>
      <c r="C244">
        <f t="shared" si="31"/>
        <v>8</v>
      </c>
      <c r="D244" t="str">
        <f t="shared" si="32"/>
        <v>Aug</v>
      </c>
      <c r="E244" t="str">
        <f t="shared" si="33"/>
        <v>Q3</v>
      </c>
      <c r="F244">
        <f t="shared" si="34"/>
        <v>3</v>
      </c>
      <c r="G244">
        <f t="shared" si="35"/>
        <v>2024</v>
      </c>
      <c r="H244" t="str">
        <f t="shared" si="36"/>
        <v>2024-Aug</v>
      </c>
      <c r="I244" t="str">
        <f t="shared" si="37"/>
        <v>Fri</v>
      </c>
      <c r="J244" t="str">
        <f t="shared" si="38"/>
        <v>Weekday</v>
      </c>
    </row>
    <row r="245" spans="1:10" x14ac:dyDescent="0.25">
      <c r="A245" s="1">
        <f t="shared" si="39"/>
        <v>45535</v>
      </c>
      <c r="B245">
        <f t="shared" si="30"/>
        <v>31</v>
      </c>
      <c r="C245">
        <f t="shared" si="31"/>
        <v>8</v>
      </c>
      <c r="D245" t="str">
        <f t="shared" si="32"/>
        <v>Aug</v>
      </c>
      <c r="E245" t="str">
        <f t="shared" si="33"/>
        <v>Q3</v>
      </c>
      <c r="F245">
        <f t="shared" si="34"/>
        <v>3</v>
      </c>
      <c r="G245">
        <f t="shared" si="35"/>
        <v>2024</v>
      </c>
      <c r="H245" t="str">
        <f t="shared" si="36"/>
        <v>2024-Aug</v>
      </c>
      <c r="I245" t="str">
        <f t="shared" si="37"/>
        <v>Sat</v>
      </c>
      <c r="J245" t="str">
        <f t="shared" si="38"/>
        <v>Weekend</v>
      </c>
    </row>
    <row r="246" spans="1:10" x14ac:dyDescent="0.25">
      <c r="A246" s="1">
        <f t="shared" si="39"/>
        <v>45536</v>
      </c>
      <c r="B246">
        <f t="shared" si="30"/>
        <v>1</v>
      </c>
      <c r="C246">
        <f t="shared" si="31"/>
        <v>9</v>
      </c>
      <c r="D246" t="str">
        <f t="shared" si="32"/>
        <v>Sep</v>
      </c>
      <c r="E246" t="str">
        <f t="shared" si="33"/>
        <v>Q3</v>
      </c>
      <c r="F246">
        <f t="shared" si="34"/>
        <v>3</v>
      </c>
      <c r="G246">
        <f t="shared" si="35"/>
        <v>2024</v>
      </c>
      <c r="H246" t="str">
        <f t="shared" si="36"/>
        <v>2024-Sep</v>
      </c>
      <c r="I246" t="str">
        <f t="shared" si="37"/>
        <v>Sun</v>
      </c>
      <c r="J246" t="str">
        <f t="shared" si="38"/>
        <v>Weekend</v>
      </c>
    </row>
    <row r="247" spans="1:10" x14ac:dyDescent="0.25">
      <c r="A247" s="1">
        <f t="shared" si="39"/>
        <v>45537</v>
      </c>
      <c r="B247">
        <f t="shared" si="30"/>
        <v>2</v>
      </c>
      <c r="C247">
        <f t="shared" si="31"/>
        <v>9</v>
      </c>
      <c r="D247" t="str">
        <f t="shared" si="32"/>
        <v>Sep</v>
      </c>
      <c r="E247" t="str">
        <f t="shared" si="33"/>
        <v>Q3</v>
      </c>
      <c r="F247">
        <f t="shared" si="34"/>
        <v>3</v>
      </c>
      <c r="G247">
        <f t="shared" si="35"/>
        <v>2024</v>
      </c>
      <c r="H247" t="str">
        <f t="shared" si="36"/>
        <v>2024-Sep</v>
      </c>
      <c r="I247" t="str">
        <f t="shared" si="37"/>
        <v>Mon</v>
      </c>
      <c r="J247" t="str">
        <f t="shared" si="38"/>
        <v>Weekday</v>
      </c>
    </row>
    <row r="248" spans="1:10" x14ac:dyDescent="0.25">
      <c r="A248" s="1">
        <f t="shared" si="39"/>
        <v>45538</v>
      </c>
      <c r="B248">
        <f t="shared" si="30"/>
        <v>3</v>
      </c>
      <c r="C248">
        <f t="shared" si="31"/>
        <v>9</v>
      </c>
      <c r="D248" t="str">
        <f t="shared" si="32"/>
        <v>Sep</v>
      </c>
      <c r="E248" t="str">
        <f t="shared" si="33"/>
        <v>Q3</v>
      </c>
      <c r="F248">
        <f t="shared" si="34"/>
        <v>3</v>
      </c>
      <c r="G248">
        <f t="shared" si="35"/>
        <v>2024</v>
      </c>
      <c r="H248" t="str">
        <f t="shared" si="36"/>
        <v>2024-Sep</v>
      </c>
      <c r="I248" t="str">
        <f t="shared" si="37"/>
        <v>Tue</v>
      </c>
      <c r="J248" t="str">
        <f t="shared" si="38"/>
        <v>Weekday</v>
      </c>
    </row>
    <row r="249" spans="1:10" x14ac:dyDescent="0.25">
      <c r="A249" s="1">
        <f t="shared" si="39"/>
        <v>45539</v>
      </c>
      <c r="B249">
        <f t="shared" si="30"/>
        <v>4</v>
      </c>
      <c r="C249">
        <f t="shared" si="31"/>
        <v>9</v>
      </c>
      <c r="D249" t="str">
        <f t="shared" si="32"/>
        <v>Sep</v>
      </c>
      <c r="E249" t="str">
        <f t="shared" si="33"/>
        <v>Q3</v>
      </c>
      <c r="F249">
        <f t="shared" si="34"/>
        <v>3</v>
      </c>
      <c r="G249">
        <f t="shared" si="35"/>
        <v>2024</v>
      </c>
      <c r="H249" t="str">
        <f t="shared" si="36"/>
        <v>2024-Sep</v>
      </c>
      <c r="I249" t="str">
        <f t="shared" si="37"/>
        <v>Wed</v>
      </c>
      <c r="J249" t="str">
        <f t="shared" si="38"/>
        <v>Weekday</v>
      </c>
    </row>
    <row r="250" spans="1:10" x14ac:dyDescent="0.25">
      <c r="A250" s="1">
        <f t="shared" si="39"/>
        <v>45540</v>
      </c>
      <c r="B250">
        <f t="shared" si="30"/>
        <v>5</v>
      </c>
      <c r="C250">
        <f t="shared" si="31"/>
        <v>9</v>
      </c>
      <c r="D250" t="str">
        <f t="shared" si="32"/>
        <v>Sep</v>
      </c>
      <c r="E250" t="str">
        <f t="shared" si="33"/>
        <v>Q3</v>
      </c>
      <c r="F250">
        <f t="shared" si="34"/>
        <v>3</v>
      </c>
      <c r="G250">
        <f t="shared" si="35"/>
        <v>2024</v>
      </c>
      <c r="H250" t="str">
        <f t="shared" si="36"/>
        <v>2024-Sep</v>
      </c>
      <c r="I250" t="str">
        <f t="shared" si="37"/>
        <v>Thu</v>
      </c>
      <c r="J250" t="str">
        <f t="shared" si="38"/>
        <v>Weekday</v>
      </c>
    </row>
    <row r="251" spans="1:10" x14ac:dyDescent="0.25">
      <c r="A251" s="1">
        <f t="shared" si="39"/>
        <v>45541</v>
      </c>
      <c r="B251">
        <f t="shared" si="30"/>
        <v>6</v>
      </c>
      <c r="C251">
        <f t="shared" si="31"/>
        <v>9</v>
      </c>
      <c r="D251" t="str">
        <f t="shared" si="32"/>
        <v>Sep</v>
      </c>
      <c r="E251" t="str">
        <f t="shared" si="33"/>
        <v>Q3</v>
      </c>
      <c r="F251">
        <f t="shared" si="34"/>
        <v>3</v>
      </c>
      <c r="G251">
        <f t="shared" si="35"/>
        <v>2024</v>
      </c>
      <c r="H251" t="str">
        <f t="shared" si="36"/>
        <v>2024-Sep</v>
      </c>
      <c r="I251" t="str">
        <f t="shared" si="37"/>
        <v>Fri</v>
      </c>
      <c r="J251" t="str">
        <f t="shared" si="38"/>
        <v>Weekday</v>
      </c>
    </row>
    <row r="252" spans="1:10" x14ac:dyDescent="0.25">
      <c r="A252" s="1">
        <f t="shared" si="39"/>
        <v>45542</v>
      </c>
      <c r="B252">
        <f t="shared" si="30"/>
        <v>7</v>
      </c>
      <c r="C252">
        <f t="shared" si="31"/>
        <v>9</v>
      </c>
      <c r="D252" t="str">
        <f t="shared" si="32"/>
        <v>Sep</v>
      </c>
      <c r="E252" t="str">
        <f t="shared" si="33"/>
        <v>Q3</v>
      </c>
      <c r="F252">
        <f t="shared" si="34"/>
        <v>3</v>
      </c>
      <c r="G252">
        <f t="shared" si="35"/>
        <v>2024</v>
      </c>
      <c r="H252" t="str">
        <f t="shared" si="36"/>
        <v>2024-Sep</v>
      </c>
      <c r="I252" t="str">
        <f t="shared" si="37"/>
        <v>Sat</v>
      </c>
      <c r="J252" t="str">
        <f t="shared" si="38"/>
        <v>Weekend</v>
      </c>
    </row>
    <row r="253" spans="1:10" x14ac:dyDescent="0.25">
      <c r="A253" s="1">
        <f t="shared" si="39"/>
        <v>45543</v>
      </c>
      <c r="B253">
        <f t="shared" si="30"/>
        <v>8</v>
      </c>
      <c r="C253">
        <f t="shared" si="31"/>
        <v>9</v>
      </c>
      <c r="D253" t="str">
        <f t="shared" si="32"/>
        <v>Sep</v>
      </c>
      <c r="E253" t="str">
        <f t="shared" si="33"/>
        <v>Q3</v>
      </c>
      <c r="F253">
        <f t="shared" si="34"/>
        <v>3</v>
      </c>
      <c r="G253">
        <f t="shared" si="35"/>
        <v>2024</v>
      </c>
      <c r="H253" t="str">
        <f t="shared" si="36"/>
        <v>2024-Sep</v>
      </c>
      <c r="I253" t="str">
        <f t="shared" si="37"/>
        <v>Sun</v>
      </c>
      <c r="J253" t="str">
        <f t="shared" si="38"/>
        <v>Weekend</v>
      </c>
    </row>
    <row r="254" spans="1:10" x14ac:dyDescent="0.25">
      <c r="A254" s="1">
        <f t="shared" si="39"/>
        <v>45544</v>
      </c>
      <c r="B254">
        <f t="shared" si="30"/>
        <v>9</v>
      </c>
      <c r="C254">
        <f t="shared" si="31"/>
        <v>9</v>
      </c>
      <c r="D254" t="str">
        <f t="shared" si="32"/>
        <v>Sep</v>
      </c>
      <c r="E254" t="str">
        <f t="shared" si="33"/>
        <v>Q3</v>
      </c>
      <c r="F254">
        <f t="shared" si="34"/>
        <v>3</v>
      </c>
      <c r="G254">
        <f t="shared" si="35"/>
        <v>2024</v>
      </c>
      <c r="H254" t="str">
        <f t="shared" si="36"/>
        <v>2024-Sep</v>
      </c>
      <c r="I254" t="str">
        <f t="shared" si="37"/>
        <v>Mon</v>
      </c>
      <c r="J254" t="str">
        <f t="shared" si="38"/>
        <v>Weekday</v>
      </c>
    </row>
    <row r="255" spans="1:10" x14ac:dyDescent="0.25">
      <c r="A255" s="1">
        <f t="shared" si="39"/>
        <v>45545</v>
      </c>
      <c r="B255">
        <f t="shared" si="30"/>
        <v>10</v>
      </c>
      <c r="C255">
        <f t="shared" si="31"/>
        <v>9</v>
      </c>
      <c r="D255" t="str">
        <f t="shared" si="32"/>
        <v>Sep</v>
      </c>
      <c r="E255" t="str">
        <f t="shared" si="33"/>
        <v>Q3</v>
      </c>
      <c r="F255">
        <f t="shared" si="34"/>
        <v>3</v>
      </c>
      <c r="G255">
        <f t="shared" si="35"/>
        <v>2024</v>
      </c>
      <c r="H255" t="str">
        <f t="shared" si="36"/>
        <v>2024-Sep</v>
      </c>
      <c r="I255" t="str">
        <f t="shared" si="37"/>
        <v>Tue</v>
      </c>
      <c r="J255" t="str">
        <f t="shared" si="38"/>
        <v>Weekday</v>
      </c>
    </row>
    <row r="256" spans="1:10" x14ac:dyDescent="0.25">
      <c r="A256" s="1">
        <f t="shared" si="39"/>
        <v>45546</v>
      </c>
      <c r="B256">
        <f t="shared" si="30"/>
        <v>11</v>
      </c>
      <c r="C256">
        <f t="shared" si="31"/>
        <v>9</v>
      </c>
      <c r="D256" t="str">
        <f t="shared" si="32"/>
        <v>Sep</v>
      </c>
      <c r="E256" t="str">
        <f t="shared" si="33"/>
        <v>Q3</v>
      </c>
      <c r="F256">
        <f t="shared" si="34"/>
        <v>3</v>
      </c>
      <c r="G256">
        <f t="shared" si="35"/>
        <v>2024</v>
      </c>
      <c r="H256" t="str">
        <f t="shared" si="36"/>
        <v>2024-Sep</v>
      </c>
      <c r="I256" t="str">
        <f t="shared" si="37"/>
        <v>Wed</v>
      </c>
      <c r="J256" t="str">
        <f t="shared" si="38"/>
        <v>Weekday</v>
      </c>
    </row>
    <row r="257" spans="1:10" x14ac:dyDescent="0.25">
      <c r="A257" s="1">
        <f t="shared" si="39"/>
        <v>45547</v>
      </c>
      <c r="B257">
        <f t="shared" si="30"/>
        <v>12</v>
      </c>
      <c r="C257">
        <f t="shared" si="31"/>
        <v>9</v>
      </c>
      <c r="D257" t="str">
        <f t="shared" si="32"/>
        <v>Sep</v>
      </c>
      <c r="E257" t="str">
        <f t="shared" si="33"/>
        <v>Q3</v>
      </c>
      <c r="F257">
        <f t="shared" si="34"/>
        <v>3</v>
      </c>
      <c r="G257">
        <f t="shared" si="35"/>
        <v>2024</v>
      </c>
      <c r="H257" t="str">
        <f t="shared" si="36"/>
        <v>2024-Sep</v>
      </c>
      <c r="I257" t="str">
        <f t="shared" si="37"/>
        <v>Thu</v>
      </c>
      <c r="J257" t="str">
        <f t="shared" si="38"/>
        <v>Weekday</v>
      </c>
    </row>
    <row r="258" spans="1:10" x14ac:dyDescent="0.25">
      <c r="A258" s="1">
        <f t="shared" si="39"/>
        <v>45548</v>
      </c>
      <c r="B258">
        <f t="shared" si="30"/>
        <v>13</v>
      </c>
      <c r="C258">
        <f t="shared" si="31"/>
        <v>9</v>
      </c>
      <c r="D258" t="str">
        <f t="shared" si="32"/>
        <v>Sep</v>
      </c>
      <c r="E258" t="str">
        <f t="shared" si="33"/>
        <v>Q3</v>
      </c>
      <c r="F258">
        <f t="shared" si="34"/>
        <v>3</v>
      </c>
      <c r="G258">
        <f t="shared" si="35"/>
        <v>2024</v>
      </c>
      <c r="H258" t="str">
        <f t="shared" si="36"/>
        <v>2024-Sep</v>
      </c>
      <c r="I258" t="str">
        <f t="shared" si="37"/>
        <v>Fri</v>
      </c>
      <c r="J258" t="str">
        <f t="shared" si="38"/>
        <v>Weekday</v>
      </c>
    </row>
    <row r="259" spans="1:10" x14ac:dyDescent="0.25">
      <c r="A259" s="1">
        <f t="shared" si="39"/>
        <v>45549</v>
      </c>
      <c r="B259">
        <f t="shared" ref="B259:B322" si="40">DAY(A259)</f>
        <v>14</v>
      </c>
      <c r="C259">
        <f t="shared" ref="C259:C322" si="41">MONTH(A259)</f>
        <v>9</v>
      </c>
      <c r="D259" t="str">
        <f t="shared" ref="D259:D322" si="42">TEXT(A259,"MMM")</f>
        <v>Sep</v>
      </c>
      <c r="E259" t="str">
        <f t="shared" ref="E259:E322" si="43">"Q"&amp;ROUNDUP(MONTH(A259)/3,0)</f>
        <v>Q3</v>
      </c>
      <c r="F259">
        <f t="shared" ref="F259:F322" si="44">ROUNDUP(MONTH(A259)/3,0)</f>
        <v>3</v>
      </c>
      <c r="G259">
        <f t="shared" ref="G259:G322" si="45">YEAR(A259)</f>
        <v>2024</v>
      </c>
      <c r="H259" t="str">
        <f t="shared" ref="H259:H322" si="46">TEXT(A259,"YYYY-MMM")</f>
        <v>2024-Sep</v>
      </c>
      <c r="I259" t="str">
        <f t="shared" ref="I259:I322" si="47">TEXT(A259,"DDD")</f>
        <v>Sat</v>
      </c>
      <c r="J259" t="str">
        <f t="shared" ref="J259:J322" si="48">IF(WEEKDAY(A259,2)&gt;=6,"Weekend","Weekday")</f>
        <v>Weekend</v>
      </c>
    </row>
    <row r="260" spans="1:10" x14ac:dyDescent="0.25">
      <c r="A260" s="1">
        <f t="shared" ref="A260:A323" si="49">A259+1</f>
        <v>45550</v>
      </c>
      <c r="B260">
        <f t="shared" si="40"/>
        <v>15</v>
      </c>
      <c r="C260">
        <f t="shared" si="41"/>
        <v>9</v>
      </c>
      <c r="D260" t="str">
        <f t="shared" si="42"/>
        <v>Sep</v>
      </c>
      <c r="E260" t="str">
        <f t="shared" si="43"/>
        <v>Q3</v>
      </c>
      <c r="F260">
        <f t="shared" si="44"/>
        <v>3</v>
      </c>
      <c r="G260">
        <f t="shared" si="45"/>
        <v>2024</v>
      </c>
      <c r="H260" t="str">
        <f t="shared" si="46"/>
        <v>2024-Sep</v>
      </c>
      <c r="I260" t="str">
        <f t="shared" si="47"/>
        <v>Sun</v>
      </c>
      <c r="J260" t="str">
        <f t="shared" si="48"/>
        <v>Weekend</v>
      </c>
    </row>
    <row r="261" spans="1:10" x14ac:dyDescent="0.25">
      <c r="A261" s="1">
        <f t="shared" si="49"/>
        <v>45551</v>
      </c>
      <c r="B261">
        <f t="shared" si="40"/>
        <v>16</v>
      </c>
      <c r="C261">
        <f t="shared" si="41"/>
        <v>9</v>
      </c>
      <c r="D261" t="str">
        <f t="shared" si="42"/>
        <v>Sep</v>
      </c>
      <c r="E261" t="str">
        <f t="shared" si="43"/>
        <v>Q3</v>
      </c>
      <c r="F261">
        <f t="shared" si="44"/>
        <v>3</v>
      </c>
      <c r="G261">
        <f t="shared" si="45"/>
        <v>2024</v>
      </c>
      <c r="H261" t="str">
        <f t="shared" si="46"/>
        <v>2024-Sep</v>
      </c>
      <c r="I261" t="str">
        <f t="shared" si="47"/>
        <v>Mon</v>
      </c>
      <c r="J261" t="str">
        <f t="shared" si="48"/>
        <v>Weekday</v>
      </c>
    </row>
    <row r="262" spans="1:10" x14ac:dyDescent="0.25">
      <c r="A262" s="1">
        <f t="shared" si="49"/>
        <v>45552</v>
      </c>
      <c r="B262">
        <f t="shared" si="40"/>
        <v>17</v>
      </c>
      <c r="C262">
        <f t="shared" si="41"/>
        <v>9</v>
      </c>
      <c r="D262" t="str">
        <f t="shared" si="42"/>
        <v>Sep</v>
      </c>
      <c r="E262" t="str">
        <f t="shared" si="43"/>
        <v>Q3</v>
      </c>
      <c r="F262">
        <f t="shared" si="44"/>
        <v>3</v>
      </c>
      <c r="G262">
        <f t="shared" si="45"/>
        <v>2024</v>
      </c>
      <c r="H262" t="str">
        <f t="shared" si="46"/>
        <v>2024-Sep</v>
      </c>
      <c r="I262" t="str">
        <f t="shared" si="47"/>
        <v>Tue</v>
      </c>
      <c r="J262" t="str">
        <f t="shared" si="48"/>
        <v>Weekday</v>
      </c>
    </row>
    <row r="263" spans="1:10" x14ac:dyDescent="0.25">
      <c r="A263" s="1">
        <f t="shared" si="49"/>
        <v>45553</v>
      </c>
      <c r="B263">
        <f t="shared" si="40"/>
        <v>18</v>
      </c>
      <c r="C263">
        <f t="shared" si="41"/>
        <v>9</v>
      </c>
      <c r="D263" t="str">
        <f t="shared" si="42"/>
        <v>Sep</v>
      </c>
      <c r="E263" t="str">
        <f t="shared" si="43"/>
        <v>Q3</v>
      </c>
      <c r="F263">
        <f t="shared" si="44"/>
        <v>3</v>
      </c>
      <c r="G263">
        <f t="shared" si="45"/>
        <v>2024</v>
      </c>
      <c r="H263" t="str">
        <f t="shared" si="46"/>
        <v>2024-Sep</v>
      </c>
      <c r="I263" t="str">
        <f t="shared" si="47"/>
        <v>Wed</v>
      </c>
      <c r="J263" t="str">
        <f t="shared" si="48"/>
        <v>Weekday</v>
      </c>
    </row>
    <row r="264" spans="1:10" x14ac:dyDescent="0.25">
      <c r="A264" s="1">
        <f t="shared" si="49"/>
        <v>45554</v>
      </c>
      <c r="B264">
        <f t="shared" si="40"/>
        <v>19</v>
      </c>
      <c r="C264">
        <f t="shared" si="41"/>
        <v>9</v>
      </c>
      <c r="D264" t="str">
        <f t="shared" si="42"/>
        <v>Sep</v>
      </c>
      <c r="E264" t="str">
        <f t="shared" si="43"/>
        <v>Q3</v>
      </c>
      <c r="F264">
        <f t="shared" si="44"/>
        <v>3</v>
      </c>
      <c r="G264">
        <f t="shared" si="45"/>
        <v>2024</v>
      </c>
      <c r="H264" t="str">
        <f t="shared" si="46"/>
        <v>2024-Sep</v>
      </c>
      <c r="I264" t="str">
        <f t="shared" si="47"/>
        <v>Thu</v>
      </c>
      <c r="J264" t="str">
        <f t="shared" si="48"/>
        <v>Weekday</v>
      </c>
    </row>
    <row r="265" spans="1:10" x14ac:dyDescent="0.25">
      <c r="A265" s="1">
        <f t="shared" si="49"/>
        <v>45555</v>
      </c>
      <c r="B265">
        <f t="shared" si="40"/>
        <v>20</v>
      </c>
      <c r="C265">
        <f t="shared" si="41"/>
        <v>9</v>
      </c>
      <c r="D265" t="str">
        <f t="shared" si="42"/>
        <v>Sep</v>
      </c>
      <c r="E265" t="str">
        <f t="shared" si="43"/>
        <v>Q3</v>
      </c>
      <c r="F265">
        <f t="shared" si="44"/>
        <v>3</v>
      </c>
      <c r="G265">
        <f t="shared" si="45"/>
        <v>2024</v>
      </c>
      <c r="H265" t="str">
        <f t="shared" si="46"/>
        <v>2024-Sep</v>
      </c>
      <c r="I265" t="str">
        <f t="shared" si="47"/>
        <v>Fri</v>
      </c>
      <c r="J265" t="str">
        <f t="shared" si="48"/>
        <v>Weekday</v>
      </c>
    </row>
    <row r="266" spans="1:10" x14ac:dyDescent="0.25">
      <c r="A266" s="1">
        <f t="shared" si="49"/>
        <v>45556</v>
      </c>
      <c r="B266">
        <f t="shared" si="40"/>
        <v>21</v>
      </c>
      <c r="C266">
        <f t="shared" si="41"/>
        <v>9</v>
      </c>
      <c r="D266" t="str">
        <f t="shared" si="42"/>
        <v>Sep</v>
      </c>
      <c r="E266" t="str">
        <f t="shared" si="43"/>
        <v>Q3</v>
      </c>
      <c r="F266">
        <f t="shared" si="44"/>
        <v>3</v>
      </c>
      <c r="G266">
        <f t="shared" si="45"/>
        <v>2024</v>
      </c>
      <c r="H266" t="str">
        <f t="shared" si="46"/>
        <v>2024-Sep</v>
      </c>
      <c r="I266" t="str">
        <f t="shared" si="47"/>
        <v>Sat</v>
      </c>
      <c r="J266" t="str">
        <f t="shared" si="48"/>
        <v>Weekend</v>
      </c>
    </row>
    <row r="267" spans="1:10" x14ac:dyDescent="0.25">
      <c r="A267" s="1">
        <f t="shared" si="49"/>
        <v>45557</v>
      </c>
      <c r="B267">
        <f t="shared" si="40"/>
        <v>22</v>
      </c>
      <c r="C267">
        <f t="shared" si="41"/>
        <v>9</v>
      </c>
      <c r="D267" t="str">
        <f t="shared" si="42"/>
        <v>Sep</v>
      </c>
      <c r="E267" t="str">
        <f t="shared" si="43"/>
        <v>Q3</v>
      </c>
      <c r="F267">
        <f t="shared" si="44"/>
        <v>3</v>
      </c>
      <c r="G267">
        <f t="shared" si="45"/>
        <v>2024</v>
      </c>
      <c r="H267" t="str">
        <f t="shared" si="46"/>
        <v>2024-Sep</v>
      </c>
      <c r="I267" t="str">
        <f t="shared" si="47"/>
        <v>Sun</v>
      </c>
      <c r="J267" t="str">
        <f t="shared" si="48"/>
        <v>Weekend</v>
      </c>
    </row>
    <row r="268" spans="1:10" x14ac:dyDescent="0.25">
      <c r="A268" s="1">
        <f t="shared" si="49"/>
        <v>45558</v>
      </c>
      <c r="B268">
        <f t="shared" si="40"/>
        <v>23</v>
      </c>
      <c r="C268">
        <f t="shared" si="41"/>
        <v>9</v>
      </c>
      <c r="D268" t="str">
        <f t="shared" si="42"/>
        <v>Sep</v>
      </c>
      <c r="E268" t="str">
        <f t="shared" si="43"/>
        <v>Q3</v>
      </c>
      <c r="F268">
        <f t="shared" si="44"/>
        <v>3</v>
      </c>
      <c r="G268">
        <f t="shared" si="45"/>
        <v>2024</v>
      </c>
      <c r="H268" t="str">
        <f t="shared" si="46"/>
        <v>2024-Sep</v>
      </c>
      <c r="I268" t="str">
        <f t="shared" si="47"/>
        <v>Mon</v>
      </c>
      <c r="J268" t="str">
        <f t="shared" si="48"/>
        <v>Weekday</v>
      </c>
    </row>
    <row r="269" spans="1:10" x14ac:dyDescent="0.25">
      <c r="A269" s="1">
        <f t="shared" si="49"/>
        <v>45559</v>
      </c>
      <c r="B269">
        <f t="shared" si="40"/>
        <v>24</v>
      </c>
      <c r="C269">
        <f t="shared" si="41"/>
        <v>9</v>
      </c>
      <c r="D269" t="str">
        <f t="shared" si="42"/>
        <v>Sep</v>
      </c>
      <c r="E269" t="str">
        <f t="shared" si="43"/>
        <v>Q3</v>
      </c>
      <c r="F269">
        <f t="shared" si="44"/>
        <v>3</v>
      </c>
      <c r="G269">
        <f t="shared" si="45"/>
        <v>2024</v>
      </c>
      <c r="H269" t="str">
        <f t="shared" si="46"/>
        <v>2024-Sep</v>
      </c>
      <c r="I269" t="str">
        <f t="shared" si="47"/>
        <v>Tue</v>
      </c>
      <c r="J269" t="str">
        <f t="shared" si="48"/>
        <v>Weekday</v>
      </c>
    </row>
    <row r="270" spans="1:10" x14ac:dyDescent="0.25">
      <c r="A270" s="1">
        <f t="shared" si="49"/>
        <v>45560</v>
      </c>
      <c r="B270">
        <f t="shared" si="40"/>
        <v>25</v>
      </c>
      <c r="C270">
        <f t="shared" si="41"/>
        <v>9</v>
      </c>
      <c r="D270" t="str">
        <f t="shared" si="42"/>
        <v>Sep</v>
      </c>
      <c r="E270" t="str">
        <f t="shared" si="43"/>
        <v>Q3</v>
      </c>
      <c r="F270">
        <f t="shared" si="44"/>
        <v>3</v>
      </c>
      <c r="G270">
        <f t="shared" si="45"/>
        <v>2024</v>
      </c>
      <c r="H270" t="str">
        <f t="shared" si="46"/>
        <v>2024-Sep</v>
      </c>
      <c r="I270" t="str">
        <f t="shared" si="47"/>
        <v>Wed</v>
      </c>
      <c r="J270" t="str">
        <f t="shared" si="48"/>
        <v>Weekday</v>
      </c>
    </row>
    <row r="271" spans="1:10" x14ac:dyDescent="0.25">
      <c r="A271" s="1">
        <f t="shared" si="49"/>
        <v>45561</v>
      </c>
      <c r="B271">
        <f t="shared" si="40"/>
        <v>26</v>
      </c>
      <c r="C271">
        <f t="shared" si="41"/>
        <v>9</v>
      </c>
      <c r="D271" t="str">
        <f t="shared" si="42"/>
        <v>Sep</v>
      </c>
      <c r="E271" t="str">
        <f t="shared" si="43"/>
        <v>Q3</v>
      </c>
      <c r="F271">
        <f t="shared" si="44"/>
        <v>3</v>
      </c>
      <c r="G271">
        <f t="shared" si="45"/>
        <v>2024</v>
      </c>
      <c r="H271" t="str">
        <f t="shared" si="46"/>
        <v>2024-Sep</v>
      </c>
      <c r="I271" t="str">
        <f t="shared" si="47"/>
        <v>Thu</v>
      </c>
      <c r="J271" t="str">
        <f t="shared" si="48"/>
        <v>Weekday</v>
      </c>
    </row>
    <row r="272" spans="1:10" x14ac:dyDescent="0.25">
      <c r="A272" s="1">
        <f t="shared" si="49"/>
        <v>45562</v>
      </c>
      <c r="B272">
        <f t="shared" si="40"/>
        <v>27</v>
      </c>
      <c r="C272">
        <f t="shared" si="41"/>
        <v>9</v>
      </c>
      <c r="D272" t="str">
        <f t="shared" si="42"/>
        <v>Sep</v>
      </c>
      <c r="E272" t="str">
        <f t="shared" si="43"/>
        <v>Q3</v>
      </c>
      <c r="F272">
        <f t="shared" si="44"/>
        <v>3</v>
      </c>
      <c r="G272">
        <f t="shared" si="45"/>
        <v>2024</v>
      </c>
      <c r="H272" t="str">
        <f t="shared" si="46"/>
        <v>2024-Sep</v>
      </c>
      <c r="I272" t="str">
        <f t="shared" si="47"/>
        <v>Fri</v>
      </c>
      <c r="J272" t="str">
        <f t="shared" si="48"/>
        <v>Weekday</v>
      </c>
    </row>
    <row r="273" spans="1:10" x14ac:dyDescent="0.25">
      <c r="A273" s="1">
        <f t="shared" si="49"/>
        <v>45563</v>
      </c>
      <c r="B273">
        <f t="shared" si="40"/>
        <v>28</v>
      </c>
      <c r="C273">
        <f t="shared" si="41"/>
        <v>9</v>
      </c>
      <c r="D273" t="str">
        <f t="shared" si="42"/>
        <v>Sep</v>
      </c>
      <c r="E273" t="str">
        <f t="shared" si="43"/>
        <v>Q3</v>
      </c>
      <c r="F273">
        <f t="shared" si="44"/>
        <v>3</v>
      </c>
      <c r="G273">
        <f t="shared" si="45"/>
        <v>2024</v>
      </c>
      <c r="H273" t="str">
        <f t="shared" si="46"/>
        <v>2024-Sep</v>
      </c>
      <c r="I273" t="str">
        <f t="shared" si="47"/>
        <v>Sat</v>
      </c>
      <c r="J273" t="str">
        <f t="shared" si="48"/>
        <v>Weekend</v>
      </c>
    </row>
    <row r="274" spans="1:10" x14ac:dyDescent="0.25">
      <c r="A274" s="1">
        <f t="shared" si="49"/>
        <v>45564</v>
      </c>
      <c r="B274">
        <f t="shared" si="40"/>
        <v>29</v>
      </c>
      <c r="C274">
        <f t="shared" si="41"/>
        <v>9</v>
      </c>
      <c r="D274" t="str">
        <f t="shared" si="42"/>
        <v>Sep</v>
      </c>
      <c r="E274" t="str">
        <f t="shared" si="43"/>
        <v>Q3</v>
      </c>
      <c r="F274">
        <f t="shared" si="44"/>
        <v>3</v>
      </c>
      <c r="G274">
        <f t="shared" si="45"/>
        <v>2024</v>
      </c>
      <c r="H274" t="str">
        <f t="shared" si="46"/>
        <v>2024-Sep</v>
      </c>
      <c r="I274" t="str">
        <f t="shared" si="47"/>
        <v>Sun</v>
      </c>
      <c r="J274" t="str">
        <f t="shared" si="48"/>
        <v>Weekend</v>
      </c>
    </row>
    <row r="275" spans="1:10" x14ac:dyDescent="0.25">
      <c r="A275" s="1">
        <f t="shared" si="49"/>
        <v>45565</v>
      </c>
      <c r="B275">
        <f t="shared" si="40"/>
        <v>30</v>
      </c>
      <c r="C275">
        <f t="shared" si="41"/>
        <v>9</v>
      </c>
      <c r="D275" t="str">
        <f t="shared" si="42"/>
        <v>Sep</v>
      </c>
      <c r="E275" t="str">
        <f t="shared" si="43"/>
        <v>Q3</v>
      </c>
      <c r="F275">
        <f t="shared" si="44"/>
        <v>3</v>
      </c>
      <c r="G275">
        <f t="shared" si="45"/>
        <v>2024</v>
      </c>
      <c r="H275" t="str">
        <f t="shared" si="46"/>
        <v>2024-Sep</v>
      </c>
      <c r="I275" t="str">
        <f t="shared" si="47"/>
        <v>Mon</v>
      </c>
      <c r="J275" t="str">
        <f t="shared" si="48"/>
        <v>Weekday</v>
      </c>
    </row>
    <row r="276" spans="1:10" x14ac:dyDescent="0.25">
      <c r="A276" s="1">
        <f t="shared" si="49"/>
        <v>45566</v>
      </c>
      <c r="B276">
        <f t="shared" si="40"/>
        <v>1</v>
      </c>
      <c r="C276">
        <f t="shared" si="41"/>
        <v>10</v>
      </c>
      <c r="D276" t="str">
        <f t="shared" si="42"/>
        <v>Oct</v>
      </c>
      <c r="E276" t="str">
        <f t="shared" si="43"/>
        <v>Q4</v>
      </c>
      <c r="F276">
        <f t="shared" si="44"/>
        <v>4</v>
      </c>
      <c r="G276">
        <f t="shared" si="45"/>
        <v>2024</v>
      </c>
      <c r="H276" t="str">
        <f t="shared" si="46"/>
        <v>2024-Oct</v>
      </c>
      <c r="I276" t="str">
        <f t="shared" si="47"/>
        <v>Tue</v>
      </c>
      <c r="J276" t="str">
        <f t="shared" si="48"/>
        <v>Weekday</v>
      </c>
    </row>
    <row r="277" spans="1:10" x14ac:dyDescent="0.25">
      <c r="A277" s="1">
        <f t="shared" si="49"/>
        <v>45567</v>
      </c>
      <c r="B277">
        <f t="shared" si="40"/>
        <v>2</v>
      </c>
      <c r="C277">
        <f t="shared" si="41"/>
        <v>10</v>
      </c>
      <c r="D277" t="str">
        <f t="shared" si="42"/>
        <v>Oct</v>
      </c>
      <c r="E277" t="str">
        <f t="shared" si="43"/>
        <v>Q4</v>
      </c>
      <c r="F277">
        <f t="shared" si="44"/>
        <v>4</v>
      </c>
      <c r="G277">
        <f t="shared" si="45"/>
        <v>2024</v>
      </c>
      <c r="H277" t="str">
        <f t="shared" si="46"/>
        <v>2024-Oct</v>
      </c>
      <c r="I277" t="str">
        <f t="shared" si="47"/>
        <v>Wed</v>
      </c>
      <c r="J277" t="str">
        <f t="shared" si="48"/>
        <v>Weekday</v>
      </c>
    </row>
    <row r="278" spans="1:10" x14ac:dyDescent="0.25">
      <c r="A278" s="1">
        <f t="shared" si="49"/>
        <v>45568</v>
      </c>
      <c r="B278">
        <f t="shared" si="40"/>
        <v>3</v>
      </c>
      <c r="C278">
        <f t="shared" si="41"/>
        <v>10</v>
      </c>
      <c r="D278" t="str">
        <f t="shared" si="42"/>
        <v>Oct</v>
      </c>
      <c r="E278" t="str">
        <f t="shared" si="43"/>
        <v>Q4</v>
      </c>
      <c r="F278">
        <f t="shared" si="44"/>
        <v>4</v>
      </c>
      <c r="G278">
        <f t="shared" si="45"/>
        <v>2024</v>
      </c>
      <c r="H278" t="str">
        <f t="shared" si="46"/>
        <v>2024-Oct</v>
      </c>
      <c r="I278" t="str">
        <f t="shared" si="47"/>
        <v>Thu</v>
      </c>
      <c r="J278" t="str">
        <f t="shared" si="48"/>
        <v>Weekday</v>
      </c>
    </row>
    <row r="279" spans="1:10" x14ac:dyDescent="0.25">
      <c r="A279" s="1">
        <f t="shared" si="49"/>
        <v>45569</v>
      </c>
      <c r="B279">
        <f t="shared" si="40"/>
        <v>4</v>
      </c>
      <c r="C279">
        <f t="shared" si="41"/>
        <v>10</v>
      </c>
      <c r="D279" t="str">
        <f t="shared" si="42"/>
        <v>Oct</v>
      </c>
      <c r="E279" t="str">
        <f t="shared" si="43"/>
        <v>Q4</v>
      </c>
      <c r="F279">
        <f t="shared" si="44"/>
        <v>4</v>
      </c>
      <c r="G279">
        <f t="shared" si="45"/>
        <v>2024</v>
      </c>
      <c r="H279" t="str">
        <f t="shared" si="46"/>
        <v>2024-Oct</v>
      </c>
      <c r="I279" t="str">
        <f t="shared" si="47"/>
        <v>Fri</v>
      </c>
      <c r="J279" t="str">
        <f t="shared" si="48"/>
        <v>Weekday</v>
      </c>
    </row>
    <row r="280" spans="1:10" x14ac:dyDescent="0.25">
      <c r="A280" s="1">
        <f t="shared" si="49"/>
        <v>45570</v>
      </c>
      <c r="B280">
        <f t="shared" si="40"/>
        <v>5</v>
      </c>
      <c r="C280">
        <f t="shared" si="41"/>
        <v>10</v>
      </c>
      <c r="D280" t="str">
        <f t="shared" si="42"/>
        <v>Oct</v>
      </c>
      <c r="E280" t="str">
        <f t="shared" si="43"/>
        <v>Q4</v>
      </c>
      <c r="F280">
        <f t="shared" si="44"/>
        <v>4</v>
      </c>
      <c r="G280">
        <f t="shared" si="45"/>
        <v>2024</v>
      </c>
      <c r="H280" t="str">
        <f t="shared" si="46"/>
        <v>2024-Oct</v>
      </c>
      <c r="I280" t="str">
        <f t="shared" si="47"/>
        <v>Sat</v>
      </c>
      <c r="J280" t="str">
        <f t="shared" si="48"/>
        <v>Weekend</v>
      </c>
    </row>
    <row r="281" spans="1:10" x14ac:dyDescent="0.25">
      <c r="A281" s="1">
        <f t="shared" si="49"/>
        <v>45571</v>
      </c>
      <c r="B281">
        <f t="shared" si="40"/>
        <v>6</v>
      </c>
      <c r="C281">
        <f t="shared" si="41"/>
        <v>10</v>
      </c>
      <c r="D281" t="str">
        <f t="shared" si="42"/>
        <v>Oct</v>
      </c>
      <c r="E281" t="str">
        <f t="shared" si="43"/>
        <v>Q4</v>
      </c>
      <c r="F281">
        <f t="shared" si="44"/>
        <v>4</v>
      </c>
      <c r="G281">
        <f t="shared" si="45"/>
        <v>2024</v>
      </c>
      <c r="H281" t="str">
        <f t="shared" si="46"/>
        <v>2024-Oct</v>
      </c>
      <c r="I281" t="str">
        <f t="shared" si="47"/>
        <v>Sun</v>
      </c>
      <c r="J281" t="str">
        <f t="shared" si="48"/>
        <v>Weekend</v>
      </c>
    </row>
    <row r="282" spans="1:10" x14ac:dyDescent="0.25">
      <c r="A282" s="1">
        <f t="shared" si="49"/>
        <v>45572</v>
      </c>
      <c r="B282">
        <f t="shared" si="40"/>
        <v>7</v>
      </c>
      <c r="C282">
        <f t="shared" si="41"/>
        <v>10</v>
      </c>
      <c r="D282" t="str">
        <f t="shared" si="42"/>
        <v>Oct</v>
      </c>
      <c r="E282" t="str">
        <f t="shared" si="43"/>
        <v>Q4</v>
      </c>
      <c r="F282">
        <f t="shared" si="44"/>
        <v>4</v>
      </c>
      <c r="G282">
        <f t="shared" si="45"/>
        <v>2024</v>
      </c>
      <c r="H282" t="str">
        <f t="shared" si="46"/>
        <v>2024-Oct</v>
      </c>
      <c r="I282" t="str">
        <f t="shared" si="47"/>
        <v>Mon</v>
      </c>
      <c r="J282" t="str">
        <f t="shared" si="48"/>
        <v>Weekday</v>
      </c>
    </row>
    <row r="283" spans="1:10" x14ac:dyDescent="0.25">
      <c r="A283" s="1">
        <f t="shared" si="49"/>
        <v>45573</v>
      </c>
      <c r="B283">
        <f t="shared" si="40"/>
        <v>8</v>
      </c>
      <c r="C283">
        <f t="shared" si="41"/>
        <v>10</v>
      </c>
      <c r="D283" t="str">
        <f t="shared" si="42"/>
        <v>Oct</v>
      </c>
      <c r="E283" t="str">
        <f t="shared" si="43"/>
        <v>Q4</v>
      </c>
      <c r="F283">
        <f t="shared" si="44"/>
        <v>4</v>
      </c>
      <c r="G283">
        <f t="shared" si="45"/>
        <v>2024</v>
      </c>
      <c r="H283" t="str">
        <f t="shared" si="46"/>
        <v>2024-Oct</v>
      </c>
      <c r="I283" t="str">
        <f t="shared" si="47"/>
        <v>Tue</v>
      </c>
      <c r="J283" t="str">
        <f t="shared" si="48"/>
        <v>Weekday</v>
      </c>
    </row>
    <row r="284" spans="1:10" x14ac:dyDescent="0.25">
      <c r="A284" s="1">
        <f t="shared" si="49"/>
        <v>45574</v>
      </c>
      <c r="B284">
        <f t="shared" si="40"/>
        <v>9</v>
      </c>
      <c r="C284">
        <f t="shared" si="41"/>
        <v>10</v>
      </c>
      <c r="D284" t="str">
        <f t="shared" si="42"/>
        <v>Oct</v>
      </c>
      <c r="E284" t="str">
        <f t="shared" si="43"/>
        <v>Q4</v>
      </c>
      <c r="F284">
        <f t="shared" si="44"/>
        <v>4</v>
      </c>
      <c r="G284">
        <f t="shared" si="45"/>
        <v>2024</v>
      </c>
      <c r="H284" t="str">
        <f t="shared" si="46"/>
        <v>2024-Oct</v>
      </c>
      <c r="I284" t="str">
        <f t="shared" si="47"/>
        <v>Wed</v>
      </c>
      <c r="J284" t="str">
        <f t="shared" si="48"/>
        <v>Weekday</v>
      </c>
    </row>
    <row r="285" spans="1:10" x14ac:dyDescent="0.25">
      <c r="A285" s="1">
        <f t="shared" si="49"/>
        <v>45575</v>
      </c>
      <c r="B285">
        <f t="shared" si="40"/>
        <v>10</v>
      </c>
      <c r="C285">
        <f t="shared" si="41"/>
        <v>10</v>
      </c>
      <c r="D285" t="str">
        <f t="shared" si="42"/>
        <v>Oct</v>
      </c>
      <c r="E285" t="str">
        <f t="shared" si="43"/>
        <v>Q4</v>
      </c>
      <c r="F285">
        <f t="shared" si="44"/>
        <v>4</v>
      </c>
      <c r="G285">
        <f t="shared" si="45"/>
        <v>2024</v>
      </c>
      <c r="H285" t="str">
        <f t="shared" si="46"/>
        <v>2024-Oct</v>
      </c>
      <c r="I285" t="str">
        <f t="shared" si="47"/>
        <v>Thu</v>
      </c>
      <c r="J285" t="str">
        <f t="shared" si="48"/>
        <v>Weekday</v>
      </c>
    </row>
    <row r="286" spans="1:10" x14ac:dyDescent="0.25">
      <c r="A286" s="1">
        <f t="shared" si="49"/>
        <v>45576</v>
      </c>
      <c r="B286">
        <f t="shared" si="40"/>
        <v>11</v>
      </c>
      <c r="C286">
        <f t="shared" si="41"/>
        <v>10</v>
      </c>
      <c r="D286" t="str">
        <f t="shared" si="42"/>
        <v>Oct</v>
      </c>
      <c r="E286" t="str">
        <f t="shared" si="43"/>
        <v>Q4</v>
      </c>
      <c r="F286">
        <f t="shared" si="44"/>
        <v>4</v>
      </c>
      <c r="G286">
        <f t="shared" si="45"/>
        <v>2024</v>
      </c>
      <c r="H286" t="str">
        <f t="shared" si="46"/>
        <v>2024-Oct</v>
      </c>
      <c r="I286" t="str">
        <f t="shared" si="47"/>
        <v>Fri</v>
      </c>
      <c r="J286" t="str">
        <f t="shared" si="48"/>
        <v>Weekday</v>
      </c>
    </row>
    <row r="287" spans="1:10" x14ac:dyDescent="0.25">
      <c r="A287" s="1">
        <f t="shared" si="49"/>
        <v>45577</v>
      </c>
      <c r="B287">
        <f t="shared" si="40"/>
        <v>12</v>
      </c>
      <c r="C287">
        <f t="shared" si="41"/>
        <v>10</v>
      </c>
      <c r="D287" t="str">
        <f t="shared" si="42"/>
        <v>Oct</v>
      </c>
      <c r="E287" t="str">
        <f t="shared" si="43"/>
        <v>Q4</v>
      </c>
      <c r="F287">
        <f t="shared" si="44"/>
        <v>4</v>
      </c>
      <c r="G287">
        <f t="shared" si="45"/>
        <v>2024</v>
      </c>
      <c r="H287" t="str">
        <f t="shared" si="46"/>
        <v>2024-Oct</v>
      </c>
      <c r="I287" t="str">
        <f t="shared" si="47"/>
        <v>Sat</v>
      </c>
      <c r="J287" t="str">
        <f t="shared" si="48"/>
        <v>Weekend</v>
      </c>
    </row>
    <row r="288" spans="1:10" x14ac:dyDescent="0.25">
      <c r="A288" s="1">
        <f t="shared" si="49"/>
        <v>45578</v>
      </c>
      <c r="B288">
        <f t="shared" si="40"/>
        <v>13</v>
      </c>
      <c r="C288">
        <f t="shared" si="41"/>
        <v>10</v>
      </c>
      <c r="D288" t="str">
        <f t="shared" si="42"/>
        <v>Oct</v>
      </c>
      <c r="E288" t="str">
        <f t="shared" si="43"/>
        <v>Q4</v>
      </c>
      <c r="F288">
        <f t="shared" si="44"/>
        <v>4</v>
      </c>
      <c r="G288">
        <f t="shared" si="45"/>
        <v>2024</v>
      </c>
      <c r="H288" t="str">
        <f t="shared" si="46"/>
        <v>2024-Oct</v>
      </c>
      <c r="I288" t="str">
        <f t="shared" si="47"/>
        <v>Sun</v>
      </c>
      <c r="J288" t="str">
        <f t="shared" si="48"/>
        <v>Weekend</v>
      </c>
    </row>
    <row r="289" spans="1:10" x14ac:dyDescent="0.25">
      <c r="A289" s="1">
        <f t="shared" si="49"/>
        <v>45579</v>
      </c>
      <c r="B289">
        <f t="shared" si="40"/>
        <v>14</v>
      </c>
      <c r="C289">
        <f t="shared" si="41"/>
        <v>10</v>
      </c>
      <c r="D289" t="str">
        <f t="shared" si="42"/>
        <v>Oct</v>
      </c>
      <c r="E289" t="str">
        <f t="shared" si="43"/>
        <v>Q4</v>
      </c>
      <c r="F289">
        <f t="shared" si="44"/>
        <v>4</v>
      </c>
      <c r="G289">
        <f t="shared" si="45"/>
        <v>2024</v>
      </c>
      <c r="H289" t="str">
        <f t="shared" si="46"/>
        <v>2024-Oct</v>
      </c>
      <c r="I289" t="str">
        <f t="shared" si="47"/>
        <v>Mon</v>
      </c>
      <c r="J289" t="str">
        <f t="shared" si="48"/>
        <v>Weekday</v>
      </c>
    </row>
    <row r="290" spans="1:10" x14ac:dyDescent="0.25">
      <c r="A290" s="1">
        <f t="shared" si="49"/>
        <v>45580</v>
      </c>
      <c r="B290">
        <f t="shared" si="40"/>
        <v>15</v>
      </c>
      <c r="C290">
        <f t="shared" si="41"/>
        <v>10</v>
      </c>
      <c r="D290" t="str">
        <f t="shared" si="42"/>
        <v>Oct</v>
      </c>
      <c r="E290" t="str">
        <f t="shared" si="43"/>
        <v>Q4</v>
      </c>
      <c r="F290">
        <f t="shared" si="44"/>
        <v>4</v>
      </c>
      <c r="G290">
        <f t="shared" si="45"/>
        <v>2024</v>
      </c>
      <c r="H290" t="str">
        <f t="shared" si="46"/>
        <v>2024-Oct</v>
      </c>
      <c r="I290" t="str">
        <f t="shared" si="47"/>
        <v>Tue</v>
      </c>
      <c r="J290" t="str">
        <f t="shared" si="48"/>
        <v>Weekday</v>
      </c>
    </row>
    <row r="291" spans="1:10" x14ac:dyDescent="0.25">
      <c r="A291" s="1">
        <f t="shared" si="49"/>
        <v>45581</v>
      </c>
      <c r="B291">
        <f t="shared" si="40"/>
        <v>16</v>
      </c>
      <c r="C291">
        <f t="shared" si="41"/>
        <v>10</v>
      </c>
      <c r="D291" t="str">
        <f t="shared" si="42"/>
        <v>Oct</v>
      </c>
      <c r="E291" t="str">
        <f t="shared" si="43"/>
        <v>Q4</v>
      </c>
      <c r="F291">
        <f t="shared" si="44"/>
        <v>4</v>
      </c>
      <c r="G291">
        <f t="shared" si="45"/>
        <v>2024</v>
      </c>
      <c r="H291" t="str">
        <f t="shared" si="46"/>
        <v>2024-Oct</v>
      </c>
      <c r="I291" t="str">
        <f t="shared" si="47"/>
        <v>Wed</v>
      </c>
      <c r="J291" t="str">
        <f t="shared" si="48"/>
        <v>Weekday</v>
      </c>
    </row>
    <row r="292" spans="1:10" x14ac:dyDescent="0.25">
      <c r="A292" s="1">
        <f t="shared" si="49"/>
        <v>45582</v>
      </c>
      <c r="B292">
        <f t="shared" si="40"/>
        <v>17</v>
      </c>
      <c r="C292">
        <f t="shared" si="41"/>
        <v>10</v>
      </c>
      <c r="D292" t="str">
        <f t="shared" si="42"/>
        <v>Oct</v>
      </c>
      <c r="E292" t="str">
        <f t="shared" si="43"/>
        <v>Q4</v>
      </c>
      <c r="F292">
        <f t="shared" si="44"/>
        <v>4</v>
      </c>
      <c r="G292">
        <f t="shared" si="45"/>
        <v>2024</v>
      </c>
      <c r="H292" t="str">
        <f t="shared" si="46"/>
        <v>2024-Oct</v>
      </c>
      <c r="I292" t="str">
        <f t="shared" si="47"/>
        <v>Thu</v>
      </c>
      <c r="J292" t="str">
        <f t="shared" si="48"/>
        <v>Weekday</v>
      </c>
    </row>
    <row r="293" spans="1:10" x14ac:dyDescent="0.25">
      <c r="A293" s="1">
        <f t="shared" si="49"/>
        <v>45583</v>
      </c>
      <c r="B293">
        <f t="shared" si="40"/>
        <v>18</v>
      </c>
      <c r="C293">
        <f t="shared" si="41"/>
        <v>10</v>
      </c>
      <c r="D293" t="str">
        <f t="shared" si="42"/>
        <v>Oct</v>
      </c>
      <c r="E293" t="str">
        <f t="shared" si="43"/>
        <v>Q4</v>
      </c>
      <c r="F293">
        <f t="shared" si="44"/>
        <v>4</v>
      </c>
      <c r="G293">
        <f t="shared" si="45"/>
        <v>2024</v>
      </c>
      <c r="H293" t="str">
        <f t="shared" si="46"/>
        <v>2024-Oct</v>
      </c>
      <c r="I293" t="str">
        <f t="shared" si="47"/>
        <v>Fri</v>
      </c>
      <c r="J293" t="str">
        <f t="shared" si="48"/>
        <v>Weekday</v>
      </c>
    </row>
    <row r="294" spans="1:10" x14ac:dyDescent="0.25">
      <c r="A294" s="1">
        <f t="shared" si="49"/>
        <v>45584</v>
      </c>
      <c r="B294">
        <f t="shared" si="40"/>
        <v>19</v>
      </c>
      <c r="C294">
        <f t="shared" si="41"/>
        <v>10</v>
      </c>
      <c r="D294" t="str">
        <f t="shared" si="42"/>
        <v>Oct</v>
      </c>
      <c r="E294" t="str">
        <f t="shared" si="43"/>
        <v>Q4</v>
      </c>
      <c r="F294">
        <f t="shared" si="44"/>
        <v>4</v>
      </c>
      <c r="G294">
        <f t="shared" si="45"/>
        <v>2024</v>
      </c>
      <c r="H294" t="str">
        <f t="shared" si="46"/>
        <v>2024-Oct</v>
      </c>
      <c r="I294" t="str">
        <f t="shared" si="47"/>
        <v>Sat</v>
      </c>
      <c r="J294" t="str">
        <f t="shared" si="48"/>
        <v>Weekend</v>
      </c>
    </row>
    <row r="295" spans="1:10" x14ac:dyDescent="0.25">
      <c r="A295" s="1">
        <f t="shared" si="49"/>
        <v>45585</v>
      </c>
      <c r="B295">
        <f t="shared" si="40"/>
        <v>20</v>
      </c>
      <c r="C295">
        <f t="shared" si="41"/>
        <v>10</v>
      </c>
      <c r="D295" t="str">
        <f t="shared" si="42"/>
        <v>Oct</v>
      </c>
      <c r="E295" t="str">
        <f t="shared" si="43"/>
        <v>Q4</v>
      </c>
      <c r="F295">
        <f t="shared" si="44"/>
        <v>4</v>
      </c>
      <c r="G295">
        <f t="shared" si="45"/>
        <v>2024</v>
      </c>
      <c r="H295" t="str">
        <f t="shared" si="46"/>
        <v>2024-Oct</v>
      </c>
      <c r="I295" t="str">
        <f t="shared" si="47"/>
        <v>Sun</v>
      </c>
      <c r="J295" t="str">
        <f t="shared" si="48"/>
        <v>Weekend</v>
      </c>
    </row>
    <row r="296" spans="1:10" x14ac:dyDescent="0.25">
      <c r="A296" s="1">
        <f t="shared" si="49"/>
        <v>45586</v>
      </c>
      <c r="B296">
        <f t="shared" si="40"/>
        <v>21</v>
      </c>
      <c r="C296">
        <f t="shared" si="41"/>
        <v>10</v>
      </c>
      <c r="D296" t="str">
        <f t="shared" si="42"/>
        <v>Oct</v>
      </c>
      <c r="E296" t="str">
        <f t="shared" si="43"/>
        <v>Q4</v>
      </c>
      <c r="F296">
        <f t="shared" si="44"/>
        <v>4</v>
      </c>
      <c r="G296">
        <f t="shared" si="45"/>
        <v>2024</v>
      </c>
      <c r="H296" t="str">
        <f t="shared" si="46"/>
        <v>2024-Oct</v>
      </c>
      <c r="I296" t="str">
        <f t="shared" si="47"/>
        <v>Mon</v>
      </c>
      <c r="J296" t="str">
        <f t="shared" si="48"/>
        <v>Weekday</v>
      </c>
    </row>
    <row r="297" spans="1:10" x14ac:dyDescent="0.25">
      <c r="A297" s="1">
        <f t="shared" si="49"/>
        <v>45587</v>
      </c>
      <c r="B297">
        <f t="shared" si="40"/>
        <v>22</v>
      </c>
      <c r="C297">
        <f t="shared" si="41"/>
        <v>10</v>
      </c>
      <c r="D297" t="str">
        <f t="shared" si="42"/>
        <v>Oct</v>
      </c>
      <c r="E297" t="str">
        <f t="shared" si="43"/>
        <v>Q4</v>
      </c>
      <c r="F297">
        <f t="shared" si="44"/>
        <v>4</v>
      </c>
      <c r="G297">
        <f t="shared" si="45"/>
        <v>2024</v>
      </c>
      <c r="H297" t="str">
        <f t="shared" si="46"/>
        <v>2024-Oct</v>
      </c>
      <c r="I297" t="str">
        <f t="shared" si="47"/>
        <v>Tue</v>
      </c>
      <c r="J297" t="str">
        <f t="shared" si="48"/>
        <v>Weekday</v>
      </c>
    </row>
    <row r="298" spans="1:10" x14ac:dyDescent="0.25">
      <c r="A298" s="1">
        <f t="shared" si="49"/>
        <v>45588</v>
      </c>
      <c r="B298">
        <f t="shared" si="40"/>
        <v>23</v>
      </c>
      <c r="C298">
        <f t="shared" si="41"/>
        <v>10</v>
      </c>
      <c r="D298" t="str">
        <f t="shared" si="42"/>
        <v>Oct</v>
      </c>
      <c r="E298" t="str">
        <f t="shared" si="43"/>
        <v>Q4</v>
      </c>
      <c r="F298">
        <f t="shared" si="44"/>
        <v>4</v>
      </c>
      <c r="G298">
        <f t="shared" si="45"/>
        <v>2024</v>
      </c>
      <c r="H298" t="str">
        <f t="shared" si="46"/>
        <v>2024-Oct</v>
      </c>
      <c r="I298" t="str">
        <f t="shared" si="47"/>
        <v>Wed</v>
      </c>
      <c r="J298" t="str">
        <f t="shared" si="48"/>
        <v>Weekday</v>
      </c>
    </row>
    <row r="299" spans="1:10" x14ac:dyDescent="0.25">
      <c r="A299" s="1">
        <f t="shared" si="49"/>
        <v>45589</v>
      </c>
      <c r="B299">
        <f t="shared" si="40"/>
        <v>24</v>
      </c>
      <c r="C299">
        <f t="shared" si="41"/>
        <v>10</v>
      </c>
      <c r="D299" t="str">
        <f t="shared" si="42"/>
        <v>Oct</v>
      </c>
      <c r="E299" t="str">
        <f t="shared" si="43"/>
        <v>Q4</v>
      </c>
      <c r="F299">
        <f t="shared" si="44"/>
        <v>4</v>
      </c>
      <c r="G299">
        <f t="shared" si="45"/>
        <v>2024</v>
      </c>
      <c r="H299" t="str">
        <f t="shared" si="46"/>
        <v>2024-Oct</v>
      </c>
      <c r="I299" t="str">
        <f t="shared" si="47"/>
        <v>Thu</v>
      </c>
      <c r="J299" t="str">
        <f t="shared" si="48"/>
        <v>Weekday</v>
      </c>
    </row>
    <row r="300" spans="1:10" x14ac:dyDescent="0.25">
      <c r="A300" s="1">
        <f t="shared" si="49"/>
        <v>45590</v>
      </c>
      <c r="B300">
        <f t="shared" si="40"/>
        <v>25</v>
      </c>
      <c r="C300">
        <f t="shared" si="41"/>
        <v>10</v>
      </c>
      <c r="D300" t="str">
        <f t="shared" si="42"/>
        <v>Oct</v>
      </c>
      <c r="E300" t="str">
        <f t="shared" si="43"/>
        <v>Q4</v>
      </c>
      <c r="F300">
        <f t="shared" si="44"/>
        <v>4</v>
      </c>
      <c r="G300">
        <f t="shared" si="45"/>
        <v>2024</v>
      </c>
      <c r="H300" t="str">
        <f t="shared" si="46"/>
        <v>2024-Oct</v>
      </c>
      <c r="I300" t="str">
        <f t="shared" si="47"/>
        <v>Fri</v>
      </c>
      <c r="J300" t="str">
        <f t="shared" si="48"/>
        <v>Weekday</v>
      </c>
    </row>
    <row r="301" spans="1:10" x14ac:dyDescent="0.25">
      <c r="A301" s="1">
        <f t="shared" si="49"/>
        <v>45591</v>
      </c>
      <c r="B301">
        <f t="shared" si="40"/>
        <v>26</v>
      </c>
      <c r="C301">
        <f t="shared" si="41"/>
        <v>10</v>
      </c>
      <c r="D301" t="str">
        <f t="shared" si="42"/>
        <v>Oct</v>
      </c>
      <c r="E301" t="str">
        <f t="shared" si="43"/>
        <v>Q4</v>
      </c>
      <c r="F301">
        <f t="shared" si="44"/>
        <v>4</v>
      </c>
      <c r="G301">
        <f t="shared" si="45"/>
        <v>2024</v>
      </c>
      <c r="H301" t="str">
        <f t="shared" si="46"/>
        <v>2024-Oct</v>
      </c>
      <c r="I301" t="str">
        <f t="shared" si="47"/>
        <v>Sat</v>
      </c>
      <c r="J301" t="str">
        <f t="shared" si="48"/>
        <v>Weekend</v>
      </c>
    </row>
    <row r="302" spans="1:10" x14ac:dyDescent="0.25">
      <c r="A302" s="1">
        <f t="shared" si="49"/>
        <v>45592</v>
      </c>
      <c r="B302">
        <f t="shared" si="40"/>
        <v>27</v>
      </c>
      <c r="C302">
        <f t="shared" si="41"/>
        <v>10</v>
      </c>
      <c r="D302" t="str">
        <f t="shared" si="42"/>
        <v>Oct</v>
      </c>
      <c r="E302" t="str">
        <f t="shared" si="43"/>
        <v>Q4</v>
      </c>
      <c r="F302">
        <f t="shared" si="44"/>
        <v>4</v>
      </c>
      <c r="G302">
        <f t="shared" si="45"/>
        <v>2024</v>
      </c>
      <c r="H302" t="str">
        <f t="shared" si="46"/>
        <v>2024-Oct</v>
      </c>
      <c r="I302" t="str">
        <f t="shared" si="47"/>
        <v>Sun</v>
      </c>
      <c r="J302" t="str">
        <f t="shared" si="48"/>
        <v>Weekend</v>
      </c>
    </row>
    <row r="303" spans="1:10" x14ac:dyDescent="0.25">
      <c r="A303" s="1">
        <f t="shared" si="49"/>
        <v>45593</v>
      </c>
      <c r="B303">
        <f t="shared" si="40"/>
        <v>28</v>
      </c>
      <c r="C303">
        <f t="shared" si="41"/>
        <v>10</v>
      </c>
      <c r="D303" t="str">
        <f t="shared" si="42"/>
        <v>Oct</v>
      </c>
      <c r="E303" t="str">
        <f t="shared" si="43"/>
        <v>Q4</v>
      </c>
      <c r="F303">
        <f t="shared" si="44"/>
        <v>4</v>
      </c>
      <c r="G303">
        <f t="shared" si="45"/>
        <v>2024</v>
      </c>
      <c r="H303" t="str">
        <f t="shared" si="46"/>
        <v>2024-Oct</v>
      </c>
      <c r="I303" t="str">
        <f t="shared" si="47"/>
        <v>Mon</v>
      </c>
      <c r="J303" t="str">
        <f t="shared" si="48"/>
        <v>Weekday</v>
      </c>
    </row>
    <row r="304" spans="1:10" x14ac:dyDescent="0.25">
      <c r="A304" s="1">
        <f t="shared" si="49"/>
        <v>45594</v>
      </c>
      <c r="B304">
        <f t="shared" si="40"/>
        <v>29</v>
      </c>
      <c r="C304">
        <f t="shared" si="41"/>
        <v>10</v>
      </c>
      <c r="D304" t="str">
        <f t="shared" si="42"/>
        <v>Oct</v>
      </c>
      <c r="E304" t="str">
        <f t="shared" si="43"/>
        <v>Q4</v>
      </c>
      <c r="F304">
        <f t="shared" si="44"/>
        <v>4</v>
      </c>
      <c r="G304">
        <f t="shared" si="45"/>
        <v>2024</v>
      </c>
      <c r="H304" t="str">
        <f t="shared" si="46"/>
        <v>2024-Oct</v>
      </c>
      <c r="I304" t="str">
        <f t="shared" si="47"/>
        <v>Tue</v>
      </c>
      <c r="J304" t="str">
        <f t="shared" si="48"/>
        <v>Weekday</v>
      </c>
    </row>
    <row r="305" spans="1:10" x14ac:dyDescent="0.25">
      <c r="A305" s="1">
        <f t="shared" si="49"/>
        <v>45595</v>
      </c>
      <c r="B305">
        <f t="shared" si="40"/>
        <v>30</v>
      </c>
      <c r="C305">
        <f t="shared" si="41"/>
        <v>10</v>
      </c>
      <c r="D305" t="str">
        <f t="shared" si="42"/>
        <v>Oct</v>
      </c>
      <c r="E305" t="str">
        <f t="shared" si="43"/>
        <v>Q4</v>
      </c>
      <c r="F305">
        <f t="shared" si="44"/>
        <v>4</v>
      </c>
      <c r="G305">
        <f t="shared" si="45"/>
        <v>2024</v>
      </c>
      <c r="H305" t="str">
        <f t="shared" si="46"/>
        <v>2024-Oct</v>
      </c>
      <c r="I305" t="str">
        <f t="shared" si="47"/>
        <v>Wed</v>
      </c>
      <c r="J305" t="str">
        <f t="shared" si="48"/>
        <v>Weekday</v>
      </c>
    </row>
    <row r="306" spans="1:10" x14ac:dyDescent="0.25">
      <c r="A306" s="1">
        <f t="shared" si="49"/>
        <v>45596</v>
      </c>
      <c r="B306">
        <f t="shared" si="40"/>
        <v>31</v>
      </c>
      <c r="C306">
        <f t="shared" si="41"/>
        <v>10</v>
      </c>
      <c r="D306" t="str">
        <f t="shared" si="42"/>
        <v>Oct</v>
      </c>
      <c r="E306" t="str">
        <f t="shared" si="43"/>
        <v>Q4</v>
      </c>
      <c r="F306">
        <f t="shared" si="44"/>
        <v>4</v>
      </c>
      <c r="G306">
        <f t="shared" si="45"/>
        <v>2024</v>
      </c>
      <c r="H306" t="str">
        <f t="shared" si="46"/>
        <v>2024-Oct</v>
      </c>
      <c r="I306" t="str">
        <f t="shared" si="47"/>
        <v>Thu</v>
      </c>
      <c r="J306" t="str">
        <f t="shared" si="48"/>
        <v>Weekday</v>
      </c>
    </row>
    <row r="307" spans="1:10" x14ac:dyDescent="0.25">
      <c r="A307" s="1">
        <f t="shared" si="49"/>
        <v>45597</v>
      </c>
      <c r="B307">
        <f t="shared" si="40"/>
        <v>1</v>
      </c>
      <c r="C307">
        <f t="shared" si="41"/>
        <v>11</v>
      </c>
      <c r="D307" t="str">
        <f t="shared" si="42"/>
        <v>Nov</v>
      </c>
      <c r="E307" t="str">
        <f t="shared" si="43"/>
        <v>Q4</v>
      </c>
      <c r="F307">
        <f t="shared" si="44"/>
        <v>4</v>
      </c>
      <c r="G307">
        <f t="shared" si="45"/>
        <v>2024</v>
      </c>
      <c r="H307" t="str">
        <f t="shared" si="46"/>
        <v>2024-Nov</v>
      </c>
      <c r="I307" t="str">
        <f t="shared" si="47"/>
        <v>Fri</v>
      </c>
      <c r="J307" t="str">
        <f t="shared" si="48"/>
        <v>Weekday</v>
      </c>
    </row>
    <row r="308" spans="1:10" x14ac:dyDescent="0.25">
      <c r="A308" s="1">
        <f t="shared" si="49"/>
        <v>45598</v>
      </c>
      <c r="B308">
        <f t="shared" si="40"/>
        <v>2</v>
      </c>
      <c r="C308">
        <f t="shared" si="41"/>
        <v>11</v>
      </c>
      <c r="D308" t="str">
        <f t="shared" si="42"/>
        <v>Nov</v>
      </c>
      <c r="E308" t="str">
        <f t="shared" si="43"/>
        <v>Q4</v>
      </c>
      <c r="F308">
        <f t="shared" si="44"/>
        <v>4</v>
      </c>
      <c r="G308">
        <f t="shared" si="45"/>
        <v>2024</v>
      </c>
      <c r="H308" t="str">
        <f t="shared" si="46"/>
        <v>2024-Nov</v>
      </c>
      <c r="I308" t="str">
        <f t="shared" si="47"/>
        <v>Sat</v>
      </c>
      <c r="J308" t="str">
        <f t="shared" si="48"/>
        <v>Weekend</v>
      </c>
    </row>
    <row r="309" spans="1:10" x14ac:dyDescent="0.25">
      <c r="A309" s="1">
        <f t="shared" si="49"/>
        <v>45599</v>
      </c>
      <c r="B309">
        <f t="shared" si="40"/>
        <v>3</v>
      </c>
      <c r="C309">
        <f t="shared" si="41"/>
        <v>11</v>
      </c>
      <c r="D309" t="str">
        <f t="shared" si="42"/>
        <v>Nov</v>
      </c>
      <c r="E309" t="str">
        <f t="shared" si="43"/>
        <v>Q4</v>
      </c>
      <c r="F309">
        <f t="shared" si="44"/>
        <v>4</v>
      </c>
      <c r="G309">
        <f t="shared" si="45"/>
        <v>2024</v>
      </c>
      <c r="H309" t="str">
        <f t="shared" si="46"/>
        <v>2024-Nov</v>
      </c>
      <c r="I309" t="str">
        <f t="shared" si="47"/>
        <v>Sun</v>
      </c>
      <c r="J309" t="str">
        <f t="shared" si="48"/>
        <v>Weekend</v>
      </c>
    </row>
    <row r="310" spans="1:10" x14ac:dyDescent="0.25">
      <c r="A310" s="1">
        <f t="shared" si="49"/>
        <v>45600</v>
      </c>
      <c r="B310">
        <f t="shared" si="40"/>
        <v>4</v>
      </c>
      <c r="C310">
        <f t="shared" si="41"/>
        <v>11</v>
      </c>
      <c r="D310" t="str">
        <f t="shared" si="42"/>
        <v>Nov</v>
      </c>
      <c r="E310" t="str">
        <f t="shared" si="43"/>
        <v>Q4</v>
      </c>
      <c r="F310">
        <f t="shared" si="44"/>
        <v>4</v>
      </c>
      <c r="G310">
        <f t="shared" si="45"/>
        <v>2024</v>
      </c>
      <c r="H310" t="str">
        <f t="shared" si="46"/>
        <v>2024-Nov</v>
      </c>
      <c r="I310" t="str">
        <f t="shared" si="47"/>
        <v>Mon</v>
      </c>
      <c r="J310" t="str">
        <f t="shared" si="48"/>
        <v>Weekday</v>
      </c>
    </row>
    <row r="311" spans="1:10" x14ac:dyDescent="0.25">
      <c r="A311" s="1">
        <f t="shared" si="49"/>
        <v>45601</v>
      </c>
      <c r="B311">
        <f t="shared" si="40"/>
        <v>5</v>
      </c>
      <c r="C311">
        <f t="shared" si="41"/>
        <v>11</v>
      </c>
      <c r="D311" t="str">
        <f t="shared" si="42"/>
        <v>Nov</v>
      </c>
      <c r="E311" t="str">
        <f t="shared" si="43"/>
        <v>Q4</v>
      </c>
      <c r="F311">
        <f t="shared" si="44"/>
        <v>4</v>
      </c>
      <c r="G311">
        <f t="shared" si="45"/>
        <v>2024</v>
      </c>
      <c r="H311" t="str">
        <f t="shared" si="46"/>
        <v>2024-Nov</v>
      </c>
      <c r="I311" t="str">
        <f t="shared" si="47"/>
        <v>Tue</v>
      </c>
      <c r="J311" t="str">
        <f t="shared" si="48"/>
        <v>Weekday</v>
      </c>
    </row>
    <row r="312" spans="1:10" x14ac:dyDescent="0.25">
      <c r="A312" s="1">
        <f t="shared" si="49"/>
        <v>45602</v>
      </c>
      <c r="B312">
        <f t="shared" si="40"/>
        <v>6</v>
      </c>
      <c r="C312">
        <f t="shared" si="41"/>
        <v>11</v>
      </c>
      <c r="D312" t="str">
        <f t="shared" si="42"/>
        <v>Nov</v>
      </c>
      <c r="E312" t="str">
        <f t="shared" si="43"/>
        <v>Q4</v>
      </c>
      <c r="F312">
        <f t="shared" si="44"/>
        <v>4</v>
      </c>
      <c r="G312">
        <f t="shared" si="45"/>
        <v>2024</v>
      </c>
      <c r="H312" t="str">
        <f t="shared" si="46"/>
        <v>2024-Nov</v>
      </c>
      <c r="I312" t="str">
        <f t="shared" si="47"/>
        <v>Wed</v>
      </c>
      <c r="J312" t="str">
        <f t="shared" si="48"/>
        <v>Weekday</v>
      </c>
    </row>
    <row r="313" spans="1:10" x14ac:dyDescent="0.25">
      <c r="A313" s="1">
        <f t="shared" si="49"/>
        <v>45603</v>
      </c>
      <c r="B313">
        <f t="shared" si="40"/>
        <v>7</v>
      </c>
      <c r="C313">
        <f t="shared" si="41"/>
        <v>11</v>
      </c>
      <c r="D313" t="str">
        <f t="shared" si="42"/>
        <v>Nov</v>
      </c>
      <c r="E313" t="str">
        <f t="shared" si="43"/>
        <v>Q4</v>
      </c>
      <c r="F313">
        <f t="shared" si="44"/>
        <v>4</v>
      </c>
      <c r="G313">
        <f t="shared" si="45"/>
        <v>2024</v>
      </c>
      <c r="H313" t="str">
        <f t="shared" si="46"/>
        <v>2024-Nov</v>
      </c>
      <c r="I313" t="str">
        <f t="shared" si="47"/>
        <v>Thu</v>
      </c>
      <c r="J313" t="str">
        <f t="shared" si="48"/>
        <v>Weekday</v>
      </c>
    </row>
    <row r="314" spans="1:10" x14ac:dyDescent="0.25">
      <c r="A314" s="1">
        <f t="shared" si="49"/>
        <v>45604</v>
      </c>
      <c r="B314">
        <f t="shared" si="40"/>
        <v>8</v>
      </c>
      <c r="C314">
        <f t="shared" si="41"/>
        <v>11</v>
      </c>
      <c r="D314" t="str">
        <f t="shared" si="42"/>
        <v>Nov</v>
      </c>
      <c r="E314" t="str">
        <f t="shared" si="43"/>
        <v>Q4</v>
      </c>
      <c r="F314">
        <f t="shared" si="44"/>
        <v>4</v>
      </c>
      <c r="G314">
        <f t="shared" si="45"/>
        <v>2024</v>
      </c>
      <c r="H314" t="str">
        <f t="shared" si="46"/>
        <v>2024-Nov</v>
      </c>
      <c r="I314" t="str">
        <f t="shared" si="47"/>
        <v>Fri</v>
      </c>
      <c r="J314" t="str">
        <f t="shared" si="48"/>
        <v>Weekday</v>
      </c>
    </row>
    <row r="315" spans="1:10" x14ac:dyDescent="0.25">
      <c r="A315" s="1">
        <f t="shared" si="49"/>
        <v>45605</v>
      </c>
      <c r="B315">
        <f t="shared" si="40"/>
        <v>9</v>
      </c>
      <c r="C315">
        <f t="shared" si="41"/>
        <v>11</v>
      </c>
      <c r="D315" t="str">
        <f t="shared" si="42"/>
        <v>Nov</v>
      </c>
      <c r="E315" t="str">
        <f t="shared" si="43"/>
        <v>Q4</v>
      </c>
      <c r="F315">
        <f t="shared" si="44"/>
        <v>4</v>
      </c>
      <c r="G315">
        <f t="shared" si="45"/>
        <v>2024</v>
      </c>
      <c r="H315" t="str">
        <f t="shared" si="46"/>
        <v>2024-Nov</v>
      </c>
      <c r="I315" t="str">
        <f t="shared" si="47"/>
        <v>Sat</v>
      </c>
      <c r="J315" t="str">
        <f t="shared" si="48"/>
        <v>Weekend</v>
      </c>
    </row>
    <row r="316" spans="1:10" x14ac:dyDescent="0.25">
      <c r="A316" s="1">
        <f t="shared" si="49"/>
        <v>45606</v>
      </c>
      <c r="B316">
        <f t="shared" si="40"/>
        <v>10</v>
      </c>
      <c r="C316">
        <f t="shared" si="41"/>
        <v>11</v>
      </c>
      <c r="D316" t="str">
        <f t="shared" si="42"/>
        <v>Nov</v>
      </c>
      <c r="E316" t="str">
        <f t="shared" si="43"/>
        <v>Q4</v>
      </c>
      <c r="F316">
        <f t="shared" si="44"/>
        <v>4</v>
      </c>
      <c r="G316">
        <f t="shared" si="45"/>
        <v>2024</v>
      </c>
      <c r="H316" t="str">
        <f t="shared" si="46"/>
        <v>2024-Nov</v>
      </c>
      <c r="I316" t="str">
        <f t="shared" si="47"/>
        <v>Sun</v>
      </c>
      <c r="J316" t="str">
        <f t="shared" si="48"/>
        <v>Weekend</v>
      </c>
    </row>
    <row r="317" spans="1:10" x14ac:dyDescent="0.25">
      <c r="A317" s="1">
        <f t="shared" si="49"/>
        <v>45607</v>
      </c>
      <c r="B317">
        <f t="shared" si="40"/>
        <v>11</v>
      </c>
      <c r="C317">
        <f t="shared" si="41"/>
        <v>11</v>
      </c>
      <c r="D317" t="str">
        <f t="shared" si="42"/>
        <v>Nov</v>
      </c>
      <c r="E317" t="str">
        <f t="shared" si="43"/>
        <v>Q4</v>
      </c>
      <c r="F317">
        <f t="shared" si="44"/>
        <v>4</v>
      </c>
      <c r="G317">
        <f t="shared" si="45"/>
        <v>2024</v>
      </c>
      <c r="H317" t="str">
        <f t="shared" si="46"/>
        <v>2024-Nov</v>
      </c>
      <c r="I317" t="str">
        <f t="shared" si="47"/>
        <v>Mon</v>
      </c>
      <c r="J317" t="str">
        <f t="shared" si="48"/>
        <v>Weekday</v>
      </c>
    </row>
    <row r="318" spans="1:10" x14ac:dyDescent="0.25">
      <c r="A318" s="1">
        <f t="shared" si="49"/>
        <v>45608</v>
      </c>
      <c r="B318">
        <f t="shared" si="40"/>
        <v>12</v>
      </c>
      <c r="C318">
        <f t="shared" si="41"/>
        <v>11</v>
      </c>
      <c r="D318" t="str">
        <f t="shared" si="42"/>
        <v>Nov</v>
      </c>
      <c r="E318" t="str">
        <f t="shared" si="43"/>
        <v>Q4</v>
      </c>
      <c r="F318">
        <f t="shared" si="44"/>
        <v>4</v>
      </c>
      <c r="G318">
        <f t="shared" si="45"/>
        <v>2024</v>
      </c>
      <c r="H318" t="str">
        <f t="shared" si="46"/>
        <v>2024-Nov</v>
      </c>
      <c r="I318" t="str">
        <f t="shared" si="47"/>
        <v>Tue</v>
      </c>
      <c r="J318" t="str">
        <f t="shared" si="48"/>
        <v>Weekday</v>
      </c>
    </row>
    <row r="319" spans="1:10" x14ac:dyDescent="0.25">
      <c r="A319" s="1">
        <f t="shared" si="49"/>
        <v>45609</v>
      </c>
      <c r="B319">
        <f t="shared" si="40"/>
        <v>13</v>
      </c>
      <c r="C319">
        <f t="shared" si="41"/>
        <v>11</v>
      </c>
      <c r="D319" t="str">
        <f t="shared" si="42"/>
        <v>Nov</v>
      </c>
      <c r="E319" t="str">
        <f t="shared" si="43"/>
        <v>Q4</v>
      </c>
      <c r="F319">
        <f t="shared" si="44"/>
        <v>4</v>
      </c>
      <c r="G319">
        <f t="shared" si="45"/>
        <v>2024</v>
      </c>
      <c r="H319" t="str">
        <f t="shared" si="46"/>
        <v>2024-Nov</v>
      </c>
      <c r="I319" t="str">
        <f t="shared" si="47"/>
        <v>Wed</v>
      </c>
      <c r="J319" t="str">
        <f t="shared" si="48"/>
        <v>Weekday</v>
      </c>
    </row>
    <row r="320" spans="1:10" x14ac:dyDescent="0.25">
      <c r="A320" s="1">
        <f t="shared" si="49"/>
        <v>45610</v>
      </c>
      <c r="B320">
        <f t="shared" si="40"/>
        <v>14</v>
      </c>
      <c r="C320">
        <f t="shared" si="41"/>
        <v>11</v>
      </c>
      <c r="D320" t="str">
        <f t="shared" si="42"/>
        <v>Nov</v>
      </c>
      <c r="E320" t="str">
        <f t="shared" si="43"/>
        <v>Q4</v>
      </c>
      <c r="F320">
        <f t="shared" si="44"/>
        <v>4</v>
      </c>
      <c r="G320">
        <f t="shared" si="45"/>
        <v>2024</v>
      </c>
      <c r="H320" t="str">
        <f t="shared" si="46"/>
        <v>2024-Nov</v>
      </c>
      <c r="I320" t="str">
        <f t="shared" si="47"/>
        <v>Thu</v>
      </c>
      <c r="J320" t="str">
        <f t="shared" si="48"/>
        <v>Weekday</v>
      </c>
    </row>
    <row r="321" spans="1:10" x14ac:dyDescent="0.25">
      <c r="A321" s="1">
        <f t="shared" si="49"/>
        <v>45611</v>
      </c>
      <c r="B321">
        <f t="shared" si="40"/>
        <v>15</v>
      </c>
      <c r="C321">
        <f t="shared" si="41"/>
        <v>11</v>
      </c>
      <c r="D321" t="str">
        <f t="shared" si="42"/>
        <v>Nov</v>
      </c>
      <c r="E321" t="str">
        <f t="shared" si="43"/>
        <v>Q4</v>
      </c>
      <c r="F321">
        <f t="shared" si="44"/>
        <v>4</v>
      </c>
      <c r="G321">
        <f t="shared" si="45"/>
        <v>2024</v>
      </c>
      <c r="H321" t="str">
        <f t="shared" si="46"/>
        <v>2024-Nov</v>
      </c>
      <c r="I321" t="str">
        <f t="shared" si="47"/>
        <v>Fri</v>
      </c>
      <c r="J321" t="str">
        <f t="shared" si="48"/>
        <v>Weekday</v>
      </c>
    </row>
    <row r="322" spans="1:10" x14ac:dyDescent="0.25">
      <c r="A322" s="1">
        <f t="shared" si="49"/>
        <v>45612</v>
      </c>
      <c r="B322">
        <f t="shared" si="40"/>
        <v>16</v>
      </c>
      <c r="C322">
        <f t="shared" si="41"/>
        <v>11</v>
      </c>
      <c r="D322" t="str">
        <f t="shared" si="42"/>
        <v>Nov</v>
      </c>
      <c r="E322" t="str">
        <f t="shared" si="43"/>
        <v>Q4</v>
      </c>
      <c r="F322">
        <f t="shared" si="44"/>
        <v>4</v>
      </c>
      <c r="G322">
        <f t="shared" si="45"/>
        <v>2024</v>
      </c>
      <c r="H322" t="str">
        <f t="shared" si="46"/>
        <v>2024-Nov</v>
      </c>
      <c r="I322" t="str">
        <f t="shared" si="47"/>
        <v>Sat</v>
      </c>
      <c r="J322" t="str">
        <f t="shared" si="48"/>
        <v>Weekend</v>
      </c>
    </row>
    <row r="323" spans="1:10" x14ac:dyDescent="0.25">
      <c r="A323" s="1">
        <f t="shared" si="49"/>
        <v>45613</v>
      </c>
      <c r="B323">
        <f t="shared" ref="B323:B367" si="50">DAY(A323)</f>
        <v>17</v>
      </c>
      <c r="C323">
        <f t="shared" ref="C323:C367" si="51">MONTH(A323)</f>
        <v>11</v>
      </c>
      <c r="D323" t="str">
        <f t="shared" ref="D323:D367" si="52">TEXT(A323,"MMM")</f>
        <v>Nov</v>
      </c>
      <c r="E323" t="str">
        <f t="shared" ref="E323:E367" si="53">"Q"&amp;ROUNDUP(MONTH(A323)/3,0)</f>
        <v>Q4</v>
      </c>
      <c r="F323">
        <f t="shared" ref="F323:F367" si="54">ROUNDUP(MONTH(A323)/3,0)</f>
        <v>4</v>
      </c>
      <c r="G323">
        <f t="shared" ref="G323:G367" si="55">YEAR(A323)</f>
        <v>2024</v>
      </c>
      <c r="H323" t="str">
        <f t="shared" ref="H323:H367" si="56">TEXT(A323,"YYYY-MMM")</f>
        <v>2024-Nov</v>
      </c>
      <c r="I323" t="str">
        <f t="shared" ref="I323:I367" si="57">TEXT(A323,"DDD")</f>
        <v>Sun</v>
      </c>
      <c r="J323" t="str">
        <f t="shared" ref="J323:J367" si="58">IF(WEEKDAY(A323,2)&gt;=6,"Weekend","Weekday")</f>
        <v>Weekend</v>
      </c>
    </row>
    <row r="324" spans="1:10" x14ac:dyDescent="0.25">
      <c r="A324" s="1">
        <f t="shared" ref="A324:A367" si="59">A323+1</f>
        <v>45614</v>
      </c>
      <c r="B324">
        <f t="shared" si="50"/>
        <v>18</v>
      </c>
      <c r="C324">
        <f t="shared" si="51"/>
        <v>11</v>
      </c>
      <c r="D324" t="str">
        <f t="shared" si="52"/>
        <v>Nov</v>
      </c>
      <c r="E324" t="str">
        <f t="shared" si="53"/>
        <v>Q4</v>
      </c>
      <c r="F324">
        <f t="shared" si="54"/>
        <v>4</v>
      </c>
      <c r="G324">
        <f t="shared" si="55"/>
        <v>2024</v>
      </c>
      <c r="H324" t="str">
        <f t="shared" si="56"/>
        <v>2024-Nov</v>
      </c>
      <c r="I324" t="str">
        <f t="shared" si="57"/>
        <v>Mon</v>
      </c>
      <c r="J324" t="str">
        <f t="shared" si="58"/>
        <v>Weekday</v>
      </c>
    </row>
    <row r="325" spans="1:10" x14ac:dyDescent="0.25">
      <c r="A325" s="1">
        <f t="shared" si="59"/>
        <v>45615</v>
      </c>
      <c r="B325">
        <f t="shared" si="50"/>
        <v>19</v>
      </c>
      <c r="C325">
        <f t="shared" si="51"/>
        <v>11</v>
      </c>
      <c r="D325" t="str">
        <f t="shared" si="52"/>
        <v>Nov</v>
      </c>
      <c r="E325" t="str">
        <f t="shared" si="53"/>
        <v>Q4</v>
      </c>
      <c r="F325">
        <f t="shared" si="54"/>
        <v>4</v>
      </c>
      <c r="G325">
        <f t="shared" si="55"/>
        <v>2024</v>
      </c>
      <c r="H325" t="str">
        <f t="shared" si="56"/>
        <v>2024-Nov</v>
      </c>
      <c r="I325" t="str">
        <f t="shared" si="57"/>
        <v>Tue</v>
      </c>
      <c r="J325" t="str">
        <f t="shared" si="58"/>
        <v>Weekday</v>
      </c>
    </row>
    <row r="326" spans="1:10" x14ac:dyDescent="0.25">
      <c r="A326" s="1">
        <f t="shared" si="59"/>
        <v>45616</v>
      </c>
      <c r="B326">
        <f t="shared" si="50"/>
        <v>20</v>
      </c>
      <c r="C326">
        <f t="shared" si="51"/>
        <v>11</v>
      </c>
      <c r="D326" t="str">
        <f t="shared" si="52"/>
        <v>Nov</v>
      </c>
      <c r="E326" t="str">
        <f t="shared" si="53"/>
        <v>Q4</v>
      </c>
      <c r="F326">
        <f t="shared" si="54"/>
        <v>4</v>
      </c>
      <c r="G326">
        <f t="shared" si="55"/>
        <v>2024</v>
      </c>
      <c r="H326" t="str">
        <f t="shared" si="56"/>
        <v>2024-Nov</v>
      </c>
      <c r="I326" t="str">
        <f t="shared" si="57"/>
        <v>Wed</v>
      </c>
      <c r="J326" t="str">
        <f t="shared" si="58"/>
        <v>Weekday</v>
      </c>
    </row>
    <row r="327" spans="1:10" x14ac:dyDescent="0.25">
      <c r="A327" s="1">
        <f t="shared" si="59"/>
        <v>45617</v>
      </c>
      <c r="B327">
        <f t="shared" si="50"/>
        <v>21</v>
      </c>
      <c r="C327">
        <f t="shared" si="51"/>
        <v>11</v>
      </c>
      <c r="D327" t="str">
        <f t="shared" si="52"/>
        <v>Nov</v>
      </c>
      <c r="E327" t="str">
        <f t="shared" si="53"/>
        <v>Q4</v>
      </c>
      <c r="F327">
        <f t="shared" si="54"/>
        <v>4</v>
      </c>
      <c r="G327">
        <f t="shared" si="55"/>
        <v>2024</v>
      </c>
      <c r="H327" t="str">
        <f t="shared" si="56"/>
        <v>2024-Nov</v>
      </c>
      <c r="I327" t="str">
        <f t="shared" si="57"/>
        <v>Thu</v>
      </c>
      <c r="J327" t="str">
        <f t="shared" si="58"/>
        <v>Weekday</v>
      </c>
    </row>
    <row r="328" spans="1:10" x14ac:dyDescent="0.25">
      <c r="A328" s="1">
        <f t="shared" si="59"/>
        <v>45618</v>
      </c>
      <c r="B328">
        <f t="shared" si="50"/>
        <v>22</v>
      </c>
      <c r="C328">
        <f t="shared" si="51"/>
        <v>11</v>
      </c>
      <c r="D328" t="str">
        <f t="shared" si="52"/>
        <v>Nov</v>
      </c>
      <c r="E328" t="str">
        <f t="shared" si="53"/>
        <v>Q4</v>
      </c>
      <c r="F328">
        <f t="shared" si="54"/>
        <v>4</v>
      </c>
      <c r="G328">
        <f t="shared" si="55"/>
        <v>2024</v>
      </c>
      <c r="H328" t="str">
        <f t="shared" si="56"/>
        <v>2024-Nov</v>
      </c>
      <c r="I328" t="str">
        <f t="shared" si="57"/>
        <v>Fri</v>
      </c>
      <c r="J328" t="str">
        <f t="shared" si="58"/>
        <v>Weekday</v>
      </c>
    </row>
    <row r="329" spans="1:10" x14ac:dyDescent="0.25">
      <c r="A329" s="1">
        <f t="shared" si="59"/>
        <v>45619</v>
      </c>
      <c r="B329">
        <f t="shared" si="50"/>
        <v>23</v>
      </c>
      <c r="C329">
        <f t="shared" si="51"/>
        <v>11</v>
      </c>
      <c r="D329" t="str">
        <f t="shared" si="52"/>
        <v>Nov</v>
      </c>
      <c r="E329" t="str">
        <f t="shared" si="53"/>
        <v>Q4</v>
      </c>
      <c r="F329">
        <f t="shared" si="54"/>
        <v>4</v>
      </c>
      <c r="G329">
        <f t="shared" si="55"/>
        <v>2024</v>
      </c>
      <c r="H329" t="str">
        <f t="shared" si="56"/>
        <v>2024-Nov</v>
      </c>
      <c r="I329" t="str">
        <f t="shared" si="57"/>
        <v>Sat</v>
      </c>
      <c r="J329" t="str">
        <f t="shared" si="58"/>
        <v>Weekend</v>
      </c>
    </row>
    <row r="330" spans="1:10" x14ac:dyDescent="0.25">
      <c r="A330" s="1">
        <f t="shared" si="59"/>
        <v>45620</v>
      </c>
      <c r="B330">
        <f t="shared" si="50"/>
        <v>24</v>
      </c>
      <c r="C330">
        <f t="shared" si="51"/>
        <v>11</v>
      </c>
      <c r="D330" t="str">
        <f t="shared" si="52"/>
        <v>Nov</v>
      </c>
      <c r="E330" t="str">
        <f t="shared" si="53"/>
        <v>Q4</v>
      </c>
      <c r="F330">
        <f t="shared" si="54"/>
        <v>4</v>
      </c>
      <c r="G330">
        <f t="shared" si="55"/>
        <v>2024</v>
      </c>
      <c r="H330" t="str">
        <f t="shared" si="56"/>
        <v>2024-Nov</v>
      </c>
      <c r="I330" t="str">
        <f t="shared" si="57"/>
        <v>Sun</v>
      </c>
      <c r="J330" t="str">
        <f t="shared" si="58"/>
        <v>Weekend</v>
      </c>
    </row>
    <row r="331" spans="1:10" x14ac:dyDescent="0.25">
      <c r="A331" s="1">
        <f t="shared" si="59"/>
        <v>45621</v>
      </c>
      <c r="B331">
        <f t="shared" si="50"/>
        <v>25</v>
      </c>
      <c r="C331">
        <f t="shared" si="51"/>
        <v>11</v>
      </c>
      <c r="D331" t="str">
        <f t="shared" si="52"/>
        <v>Nov</v>
      </c>
      <c r="E331" t="str">
        <f t="shared" si="53"/>
        <v>Q4</v>
      </c>
      <c r="F331">
        <f t="shared" si="54"/>
        <v>4</v>
      </c>
      <c r="G331">
        <f t="shared" si="55"/>
        <v>2024</v>
      </c>
      <c r="H331" t="str">
        <f t="shared" si="56"/>
        <v>2024-Nov</v>
      </c>
      <c r="I331" t="str">
        <f t="shared" si="57"/>
        <v>Mon</v>
      </c>
      <c r="J331" t="str">
        <f t="shared" si="58"/>
        <v>Weekday</v>
      </c>
    </row>
    <row r="332" spans="1:10" x14ac:dyDescent="0.25">
      <c r="A332" s="1">
        <f t="shared" si="59"/>
        <v>45622</v>
      </c>
      <c r="B332">
        <f t="shared" si="50"/>
        <v>26</v>
      </c>
      <c r="C332">
        <f t="shared" si="51"/>
        <v>11</v>
      </c>
      <c r="D332" t="str">
        <f t="shared" si="52"/>
        <v>Nov</v>
      </c>
      <c r="E332" t="str">
        <f t="shared" si="53"/>
        <v>Q4</v>
      </c>
      <c r="F332">
        <f t="shared" si="54"/>
        <v>4</v>
      </c>
      <c r="G332">
        <f t="shared" si="55"/>
        <v>2024</v>
      </c>
      <c r="H332" t="str">
        <f t="shared" si="56"/>
        <v>2024-Nov</v>
      </c>
      <c r="I332" t="str">
        <f t="shared" si="57"/>
        <v>Tue</v>
      </c>
      <c r="J332" t="str">
        <f t="shared" si="58"/>
        <v>Weekday</v>
      </c>
    </row>
    <row r="333" spans="1:10" x14ac:dyDescent="0.25">
      <c r="A333" s="1">
        <f t="shared" si="59"/>
        <v>45623</v>
      </c>
      <c r="B333">
        <f t="shared" si="50"/>
        <v>27</v>
      </c>
      <c r="C333">
        <f t="shared" si="51"/>
        <v>11</v>
      </c>
      <c r="D333" t="str">
        <f t="shared" si="52"/>
        <v>Nov</v>
      </c>
      <c r="E333" t="str">
        <f t="shared" si="53"/>
        <v>Q4</v>
      </c>
      <c r="F333">
        <f t="shared" si="54"/>
        <v>4</v>
      </c>
      <c r="G333">
        <f t="shared" si="55"/>
        <v>2024</v>
      </c>
      <c r="H333" t="str">
        <f t="shared" si="56"/>
        <v>2024-Nov</v>
      </c>
      <c r="I333" t="str">
        <f t="shared" si="57"/>
        <v>Wed</v>
      </c>
      <c r="J333" t="str">
        <f t="shared" si="58"/>
        <v>Weekday</v>
      </c>
    </row>
    <row r="334" spans="1:10" x14ac:dyDescent="0.25">
      <c r="A334" s="1">
        <f t="shared" si="59"/>
        <v>45624</v>
      </c>
      <c r="B334">
        <f t="shared" si="50"/>
        <v>28</v>
      </c>
      <c r="C334">
        <f t="shared" si="51"/>
        <v>11</v>
      </c>
      <c r="D334" t="str">
        <f t="shared" si="52"/>
        <v>Nov</v>
      </c>
      <c r="E334" t="str">
        <f t="shared" si="53"/>
        <v>Q4</v>
      </c>
      <c r="F334">
        <f t="shared" si="54"/>
        <v>4</v>
      </c>
      <c r="G334">
        <f t="shared" si="55"/>
        <v>2024</v>
      </c>
      <c r="H334" t="str">
        <f t="shared" si="56"/>
        <v>2024-Nov</v>
      </c>
      <c r="I334" t="str">
        <f t="shared" si="57"/>
        <v>Thu</v>
      </c>
      <c r="J334" t="str">
        <f t="shared" si="58"/>
        <v>Weekday</v>
      </c>
    </row>
    <row r="335" spans="1:10" x14ac:dyDescent="0.25">
      <c r="A335" s="1">
        <f t="shared" si="59"/>
        <v>45625</v>
      </c>
      <c r="B335">
        <f t="shared" si="50"/>
        <v>29</v>
      </c>
      <c r="C335">
        <f t="shared" si="51"/>
        <v>11</v>
      </c>
      <c r="D335" t="str">
        <f t="shared" si="52"/>
        <v>Nov</v>
      </c>
      <c r="E335" t="str">
        <f t="shared" si="53"/>
        <v>Q4</v>
      </c>
      <c r="F335">
        <f t="shared" si="54"/>
        <v>4</v>
      </c>
      <c r="G335">
        <f t="shared" si="55"/>
        <v>2024</v>
      </c>
      <c r="H335" t="str">
        <f t="shared" si="56"/>
        <v>2024-Nov</v>
      </c>
      <c r="I335" t="str">
        <f t="shared" si="57"/>
        <v>Fri</v>
      </c>
      <c r="J335" t="str">
        <f t="shared" si="58"/>
        <v>Weekday</v>
      </c>
    </row>
    <row r="336" spans="1:10" x14ac:dyDescent="0.25">
      <c r="A336" s="1">
        <f t="shared" si="59"/>
        <v>45626</v>
      </c>
      <c r="B336">
        <f t="shared" si="50"/>
        <v>30</v>
      </c>
      <c r="C336">
        <f t="shared" si="51"/>
        <v>11</v>
      </c>
      <c r="D336" t="str">
        <f t="shared" si="52"/>
        <v>Nov</v>
      </c>
      <c r="E336" t="str">
        <f t="shared" si="53"/>
        <v>Q4</v>
      </c>
      <c r="F336">
        <f t="shared" si="54"/>
        <v>4</v>
      </c>
      <c r="G336">
        <f t="shared" si="55"/>
        <v>2024</v>
      </c>
      <c r="H336" t="str">
        <f t="shared" si="56"/>
        <v>2024-Nov</v>
      </c>
      <c r="I336" t="str">
        <f t="shared" si="57"/>
        <v>Sat</v>
      </c>
      <c r="J336" t="str">
        <f t="shared" si="58"/>
        <v>Weekend</v>
      </c>
    </row>
    <row r="337" spans="1:10" x14ac:dyDescent="0.25">
      <c r="A337" s="1">
        <f t="shared" si="59"/>
        <v>45627</v>
      </c>
      <c r="B337">
        <f t="shared" si="50"/>
        <v>1</v>
      </c>
      <c r="C337">
        <f t="shared" si="51"/>
        <v>12</v>
      </c>
      <c r="D337" t="str">
        <f t="shared" si="52"/>
        <v>Dec</v>
      </c>
      <c r="E337" t="str">
        <f t="shared" si="53"/>
        <v>Q4</v>
      </c>
      <c r="F337">
        <f t="shared" si="54"/>
        <v>4</v>
      </c>
      <c r="G337">
        <f t="shared" si="55"/>
        <v>2024</v>
      </c>
      <c r="H337" t="str">
        <f t="shared" si="56"/>
        <v>2024-Dec</v>
      </c>
      <c r="I337" t="str">
        <f t="shared" si="57"/>
        <v>Sun</v>
      </c>
      <c r="J337" t="str">
        <f t="shared" si="58"/>
        <v>Weekend</v>
      </c>
    </row>
    <row r="338" spans="1:10" x14ac:dyDescent="0.25">
      <c r="A338" s="1">
        <f t="shared" si="59"/>
        <v>45628</v>
      </c>
      <c r="B338">
        <f t="shared" si="50"/>
        <v>2</v>
      </c>
      <c r="C338">
        <f t="shared" si="51"/>
        <v>12</v>
      </c>
      <c r="D338" t="str">
        <f t="shared" si="52"/>
        <v>Dec</v>
      </c>
      <c r="E338" t="str">
        <f t="shared" si="53"/>
        <v>Q4</v>
      </c>
      <c r="F338">
        <f t="shared" si="54"/>
        <v>4</v>
      </c>
      <c r="G338">
        <f t="shared" si="55"/>
        <v>2024</v>
      </c>
      <c r="H338" t="str">
        <f t="shared" si="56"/>
        <v>2024-Dec</v>
      </c>
      <c r="I338" t="str">
        <f t="shared" si="57"/>
        <v>Mon</v>
      </c>
      <c r="J338" t="str">
        <f t="shared" si="58"/>
        <v>Weekday</v>
      </c>
    </row>
    <row r="339" spans="1:10" x14ac:dyDescent="0.25">
      <c r="A339" s="1">
        <f t="shared" si="59"/>
        <v>45629</v>
      </c>
      <c r="B339">
        <f t="shared" si="50"/>
        <v>3</v>
      </c>
      <c r="C339">
        <f t="shared" si="51"/>
        <v>12</v>
      </c>
      <c r="D339" t="str">
        <f t="shared" si="52"/>
        <v>Dec</v>
      </c>
      <c r="E339" t="str">
        <f t="shared" si="53"/>
        <v>Q4</v>
      </c>
      <c r="F339">
        <f t="shared" si="54"/>
        <v>4</v>
      </c>
      <c r="G339">
        <f t="shared" si="55"/>
        <v>2024</v>
      </c>
      <c r="H339" t="str">
        <f t="shared" si="56"/>
        <v>2024-Dec</v>
      </c>
      <c r="I339" t="str">
        <f t="shared" si="57"/>
        <v>Tue</v>
      </c>
      <c r="J339" t="str">
        <f t="shared" si="58"/>
        <v>Weekday</v>
      </c>
    </row>
    <row r="340" spans="1:10" x14ac:dyDescent="0.25">
      <c r="A340" s="1">
        <f t="shared" si="59"/>
        <v>45630</v>
      </c>
      <c r="B340">
        <f t="shared" si="50"/>
        <v>4</v>
      </c>
      <c r="C340">
        <f t="shared" si="51"/>
        <v>12</v>
      </c>
      <c r="D340" t="str">
        <f t="shared" si="52"/>
        <v>Dec</v>
      </c>
      <c r="E340" t="str">
        <f t="shared" si="53"/>
        <v>Q4</v>
      </c>
      <c r="F340">
        <f t="shared" si="54"/>
        <v>4</v>
      </c>
      <c r="G340">
        <f t="shared" si="55"/>
        <v>2024</v>
      </c>
      <c r="H340" t="str">
        <f t="shared" si="56"/>
        <v>2024-Dec</v>
      </c>
      <c r="I340" t="str">
        <f t="shared" si="57"/>
        <v>Wed</v>
      </c>
      <c r="J340" t="str">
        <f t="shared" si="58"/>
        <v>Weekday</v>
      </c>
    </row>
    <row r="341" spans="1:10" x14ac:dyDescent="0.25">
      <c r="A341" s="1">
        <f t="shared" si="59"/>
        <v>45631</v>
      </c>
      <c r="B341">
        <f t="shared" si="50"/>
        <v>5</v>
      </c>
      <c r="C341">
        <f t="shared" si="51"/>
        <v>12</v>
      </c>
      <c r="D341" t="str">
        <f t="shared" si="52"/>
        <v>Dec</v>
      </c>
      <c r="E341" t="str">
        <f t="shared" si="53"/>
        <v>Q4</v>
      </c>
      <c r="F341">
        <f t="shared" si="54"/>
        <v>4</v>
      </c>
      <c r="G341">
        <f t="shared" si="55"/>
        <v>2024</v>
      </c>
      <c r="H341" t="str">
        <f t="shared" si="56"/>
        <v>2024-Dec</v>
      </c>
      <c r="I341" t="str">
        <f t="shared" si="57"/>
        <v>Thu</v>
      </c>
      <c r="J341" t="str">
        <f t="shared" si="58"/>
        <v>Weekday</v>
      </c>
    </row>
    <row r="342" spans="1:10" x14ac:dyDescent="0.25">
      <c r="A342" s="1">
        <f t="shared" si="59"/>
        <v>45632</v>
      </c>
      <c r="B342">
        <f t="shared" si="50"/>
        <v>6</v>
      </c>
      <c r="C342">
        <f t="shared" si="51"/>
        <v>12</v>
      </c>
      <c r="D342" t="str">
        <f t="shared" si="52"/>
        <v>Dec</v>
      </c>
      <c r="E342" t="str">
        <f t="shared" si="53"/>
        <v>Q4</v>
      </c>
      <c r="F342">
        <f t="shared" si="54"/>
        <v>4</v>
      </c>
      <c r="G342">
        <f t="shared" si="55"/>
        <v>2024</v>
      </c>
      <c r="H342" t="str">
        <f t="shared" si="56"/>
        <v>2024-Dec</v>
      </c>
      <c r="I342" t="str">
        <f t="shared" si="57"/>
        <v>Fri</v>
      </c>
      <c r="J342" t="str">
        <f t="shared" si="58"/>
        <v>Weekday</v>
      </c>
    </row>
    <row r="343" spans="1:10" x14ac:dyDescent="0.25">
      <c r="A343" s="1">
        <f t="shared" si="59"/>
        <v>45633</v>
      </c>
      <c r="B343">
        <f t="shared" si="50"/>
        <v>7</v>
      </c>
      <c r="C343">
        <f t="shared" si="51"/>
        <v>12</v>
      </c>
      <c r="D343" t="str">
        <f t="shared" si="52"/>
        <v>Dec</v>
      </c>
      <c r="E343" t="str">
        <f t="shared" si="53"/>
        <v>Q4</v>
      </c>
      <c r="F343">
        <f t="shared" si="54"/>
        <v>4</v>
      </c>
      <c r="G343">
        <f t="shared" si="55"/>
        <v>2024</v>
      </c>
      <c r="H343" t="str">
        <f t="shared" si="56"/>
        <v>2024-Dec</v>
      </c>
      <c r="I343" t="str">
        <f t="shared" si="57"/>
        <v>Sat</v>
      </c>
      <c r="J343" t="str">
        <f t="shared" si="58"/>
        <v>Weekend</v>
      </c>
    </row>
    <row r="344" spans="1:10" x14ac:dyDescent="0.25">
      <c r="A344" s="1">
        <f t="shared" si="59"/>
        <v>45634</v>
      </c>
      <c r="B344">
        <f t="shared" si="50"/>
        <v>8</v>
      </c>
      <c r="C344">
        <f t="shared" si="51"/>
        <v>12</v>
      </c>
      <c r="D344" t="str">
        <f t="shared" si="52"/>
        <v>Dec</v>
      </c>
      <c r="E344" t="str">
        <f t="shared" si="53"/>
        <v>Q4</v>
      </c>
      <c r="F344">
        <f t="shared" si="54"/>
        <v>4</v>
      </c>
      <c r="G344">
        <f t="shared" si="55"/>
        <v>2024</v>
      </c>
      <c r="H344" t="str">
        <f t="shared" si="56"/>
        <v>2024-Dec</v>
      </c>
      <c r="I344" t="str">
        <f t="shared" si="57"/>
        <v>Sun</v>
      </c>
      <c r="J344" t="str">
        <f t="shared" si="58"/>
        <v>Weekend</v>
      </c>
    </row>
    <row r="345" spans="1:10" x14ac:dyDescent="0.25">
      <c r="A345" s="1">
        <f t="shared" si="59"/>
        <v>45635</v>
      </c>
      <c r="B345">
        <f t="shared" si="50"/>
        <v>9</v>
      </c>
      <c r="C345">
        <f t="shared" si="51"/>
        <v>12</v>
      </c>
      <c r="D345" t="str">
        <f t="shared" si="52"/>
        <v>Dec</v>
      </c>
      <c r="E345" t="str">
        <f t="shared" si="53"/>
        <v>Q4</v>
      </c>
      <c r="F345">
        <f t="shared" si="54"/>
        <v>4</v>
      </c>
      <c r="G345">
        <f t="shared" si="55"/>
        <v>2024</v>
      </c>
      <c r="H345" t="str">
        <f t="shared" si="56"/>
        <v>2024-Dec</v>
      </c>
      <c r="I345" t="str">
        <f t="shared" si="57"/>
        <v>Mon</v>
      </c>
      <c r="J345" t="str">
        <f t="shared" si="58"/>
        <v>Weekday</v>
      </c>
    </row>
    <row r="346" spans="1:10" x14ac:dyDescent="0.25">
      <c r="A346" s="1">
        <f t="shared" si="59"/>
        <v>45636</v>
      </c>
      <c r="B346">
        <f t="shared" si="50"/>
        <v>10</v>
      </c>
      <c r="C346">
        <f t="shared" si="51"/>
        <v>12</v>
      </c>
      <c r="D346" t="str">
        <f t="shared" si="52"/>
        <v>Dec</v>
      </c>
      <c r="E346" t="str">
        <f t="shared" si="53"/>
        <v>Q4</v>
      </c>
      <c r="F346">
        <f t="shared" si="54"/>
        <v>4</v>
      </c>
      <c r="G346">
        <f t="shared" si="55"/>
        <v>2024</v>
      </c>
      <c r="H346" t="str">
        <f t="shared" si="56"/>
        <v>2024-Dec</v>
      </c>
      <c r="I346" t="str">
        <f t="shared" si="57"/>
        <v>Tue</v>
      </c>
      <c r="J346" t="str">
        <f t="shared" si="58"/>
        <v>Weekday</v>
      </c>
    </row>
    <row r="347" spans="1:10" x14ac:dyDescent="0.25">
      <c r="A347" s="1">
        <f t="shared" si="59"/>
        <v>45637</v>
      </c>
      <c r="B347">
        <f t="shared" si="50"/>
        <v>11</v>
      </c>
      <c r="C347">
        <f t="shared" si="51"/>
        <v>12</v>
      </c>
      <c r="D347" t="str">
        <f t="shared" si="52"/>
        <v>Dec</v>
      </c>
      <c r="E347" t="str">
        <f t="shared" si="53"/>
        <v>Q4</v>
      </c>
      <c r="F347">
        <f t="shared" si="54"/>
        <v>4</v>
      </c>
      <c r="G347">
        <f t="shared" si="55"/>
        <v>2024</v>
      </c>
      <c r="H347" t="str">
        <f t="shared" si="56"/>
        <v>2024-Dec</v>
      </c>
      <c r="I347" t="str">
        <f t="shared" si="57"/>
        <v>Wed</v>
      </c>
      <c r="J347" t="str">
        <f t="shared" si="58"/>
        <v>Weekday</v>
      </c>
    </row>
    <row r="348" spans="1:10" x14ac:dyDescent="0.25">
      <c r="A348" s="1">
        <f t="shared" si="59"/>
        <v>45638</v>
      </c>
      <c r="B348">
        <f t="shared" si="50"/>
        <v>12</v>
      </c>
      <c r="C348">
        <f t="shared" si="51"/>
        <v>12</v>
      </c>
      <c r="D348" t="str">
        <f t="shared" si="52"/>
        <v>Dec</v>
      </c>
      <c r="E348" t="str">
        <f t="shared" si="53"/>
        <v>Q4</v>
      </c>
      <c r="F348">
        <f t="shared" si="54"/>
        <v>4</v>
      </c>
      <c r="G348">
        <f t="shared" si="55"/>
        <v>2024</v>
      </c>
      <c r="H348" t="str">
        <f t="shared" si="56"/>
        <v>2024-Dec</v>
      </c>
      <c r="I348" t="str">
        <f t="shared" si="57"/>
        <v>Thu</v>
      </c>
      <c r="J348" t="str">
        <f t="shared" si="58"/>
        <v>Weekday</v>
      </c>
    </row>
    <row r="349" spans="1:10" x14ac:dyDescent="0.25">
      <c r="A349" s="1">
        <f t="shared" si="59"/>
        <v>45639</v>
      </c>
      <c r="B349">
        <f t="shared" si="50"/>
        <v>13</v>
      </c>
      <c r="C349">
        <f t="shared" si="51"/>
        <v>12</v>
      </c>
      <c r="D349" t="str">
        <f t="shared" si="52"/>
        <v>Dec</v>
      </c>
      <c r="E349" t="str">
        <f t="shared" si="53"/>
        <v>Q4</v>
      </c>
      <c r="F349">
        <f t="shared" si="54"/>
        <v>4</v>
      </c>
      <c r="G349">
        <f t="shared" si="55"/>
        <v>2024</v>
      </c>
      <c r="H349" t="str">
        <f t="shared" si="56"/>
        <v>2024-Dec</v>
      </c>
      <c r="I349" t="str">
        <f t="shared" si="57"/>
        <v>Fri</v>
      </c>
      <c r="J349" t="str">
        <f t="shared" si="58"/>
        <v>Weekday</v>
      </c>
    </row>
    <row r="350" spans="1:10" x14ac:dyDescent="0.25">
      <c r="A350" s="1">
        <f t="shared" si="59"/>
        <v>45640</v>
      </c>
      <c r="B350">
        <f t="shared" si="50"/>
        <v>14</v>
      </c>
      <c r="C350">
        <f t="shared" si="51"/>
        <v>12</v>
      </c>
      <c r="D350" t="str">
        <f t="shared" si="52"/>
        <v>Dec</v>
      </c>
      <c r="E350" t="str">
        <f t="shared" si="53"/>
        <v>Q4</v>
      </c>
      <c r="F350">
        <f t="shared" si="54"/>
        <v>4</v>
      </c>
      <c r="G350">
        <f t="shared" si="55"/>
        <v>2024</v>
      </c>
      <c r="H350" t="str">
        <f t="shared" si="56"/>
        <v>2024-Dec</v>
      </c>
      <c r="I350" t="str">
        <f t="shared" si="57"/>
        <v>Sat</v>
      </c>
      <c r="J350" t="str">
        <f t="shared" si="58"/>
        <v>Weekend</v>
      </c>
    </row>
    <row r="351" spans="1:10" x14ac:dyDescent="0.25">
      <c r="A351" s="1">
        <f t="shared" si="59"/>
        <v>45641</v>
      </c>
      <c r="B351">
        <f t="shared" si="50"/>
        <v>15</v>
      </c>
      <c r="C351">
        <f t="shared" si="51"/>
        <v>12</v>
      </c>
      <c r="D351" t="str">
        <f t="shared" si="52"/>
        <v>Dec</v>
      </c>
      <c r="E351" t="str">
        <f t="shared" si="53"/>
        <v>Q4</v>
      </c>
      <c r="F351">
        <f t="shared" si="54"/>
        <v>4</v>
      </c>
      <c r="G351">
        <f t="shared" si="55"/>
        <v>2024</v>
      </c>
      <c r="H351" t="str">
        <f t="shared" si="56"/>
        <v>2024-Dec</v>
      </c>
      <c r="I351" t="str">
        <f t="shared" si="57"/>
        <v>Sun</v>
      </c>
      <c r="J351" t="str">
        <f t="shared" si="58"/>
        <v>Weekend</v>
      </c>
    </row>
    <row r="352" spans="1:10" x14ac:dyDescent="0.25">
      <c r="A352" s="1">
        <f t="shared" si="59"/>
        <v>45642</v>
      </c>
      <c r="B352">
        <f t="shared" si="50"/>
        <v>16</v>
      </c>
      <c r="C352">
        <f t="shared" si="51"/>
        <v>12</v>
      </c>
      <c r="D352" t="str">
        <f t="shared" si="52"/>
        <v>Dec</v>
      </c>
      <c r="E352" t="str">
        <f t="shared" si="53"/>
        <v>Q4</v>
      </c>
      <c r="F352">
        <f t="shared" si="54"/>
        <v>4</v>
      </c>
      <c r="G352">
        <f t="shared" si="55"/>
        <v>2024</v>
      </c>
      <c r="H352" t="str">
        <f t="shared" si="56"/>
        <v>2024-Dec</v>
      </c>
      <c r="I352" t="str">
        <f t="shared" si="57"/>
        <v>Mon</v>
      </c>
      <c r="J352" t="str">
        <f t="shared" si="58"/>
        <v>Weekday</v>
      </c>
    </row>
    <row r="353" spans="1:10" x14ac:dyDescent="0.25">
      <c r="A353" s="1">
        <f t="shared" si="59"/>
        <v>45643</v>
      </c>
      <c r="B353">
        <f t="shared" si="50"/>
        <v>17</v>
      </c>
      <c r="C353">
        <f t="shared" si="51"/>
        <v>12</v>
      </c>
      <c r="D353" t="str">
        <f t="shared" si="52"/>
        <v>Dec</v>
      </c>
      <c r="E353" t="str">
        <f t="shared" si="53"/>
        <v>Q4</v>
      </c>
      <c r="F353">
        <f t="shared" si="54"/>
        <v>4</v>
      </c>
      <c r="G353">
        <f t="shared" si="55"/>
        <v>2024</v>
      </c>
      <c r="H353" t="str">
        <f t="shared" si="56"/>
        <v>2024-Dec</v>
      </c>
      <c r="I353" t="str">
        <f t="shared" si="57"/>
        <v>Tue</v>
      </c>
      <c r="J353" t="str">
        <f t="shared" si="58"/>
        <v>Weekday</v>
      </c>
    </row>
    <row r="354" spans="1:10" x14ac:dyDescent="0.25">
      <c r="A354" s="1">
        <f t="shared" si="59"/>
        <v>45644</v>
      </c>
      <c r="B354">
        <f t="shared" si="50"/>
        <v>18</v>
      </c>
      <c r="C354">
        <f t="shared" si="51"/>
        <v>12</v>
      </c>
      <c r="D354" t="str">
        <f t="shared" si="52"/>
        <v>Dec</v>
      </c>
      <c r="E354" t="str">
        <f t="shared" si="53"/>
        <v>Q4</v>
      </c>
      <c r="F354">
        <f t="shared" si="54"/>
        <v>4</v>
      </c>
      <c r="G354">
        <f t="shared" si="55"/>
        <v>2024</v>
      </c>
      <c r="H354" t="str">
        <f t="shared" si="56"/>
        <v>2024-Dec</v>
      </c>
      <c r="I354" t="str">
        <f t="shared" si="57"/>
        <v>Wed</v>
      </c>
      <c r="J354" t="str">
        <f t="shared" si="58"/>
        <v>Weekday</v>
      </c>
    </row>
    <row r="355" spans="1:10" x14ac:dyDescent="0.25">
      <c r="A355" s="1">
        <f t="shared" si="59"/>
        <v>45645</v>
      </c>
      <c r="B355">
        <f t="shared" si="50"/>
        <v>19</v>
      </c>
      <c r="C355">
        <f t="shared" si="51"/>
        <v>12</v>
      </c>
      <c r="D355" t="str">
        <f t="shared" si="52"/>
        <v>Dec</v>
      </c>
      <c r="E355" t="str">
        <f t="shared" si="53"/>
        <v>Q4</v>
      </c>
      <c r="F355">
        <f t="shared" si="54"/>
        <v>4</v>
      </c>
      <c r="G355">
        <f t="shared" si="55"/>
        <v>2024</v>
      </c>
      <c r="H355" t="str">
        <f t="shared" si="56"/>
        <v>2024-Dec</v>
      </c>
      <c r="I355" t="str">
        <f t="shared" si="57"/>
        <v>Thu</v>
      </c>
      <c r="J355" t="str">
        <f t="shared" si="58"/>
        <v>Weekday</v>
      </c>
    </row>
    <row r="356" spans="1:10" x14ac:dyDescent="0.25">
      <c r="A356" s="1">
        <f t="shared" si="59"/>
        <v>45646</v>
      </c>
      <c r="B356">
        <f t="shared" si="50"/>
        <v>20</v>
      </c>
      <c r="C356">
        <f t="shared" si="51"/>
        <v>12</v>
      </c>
      <c r="D356" t="str">
        <f t="shared" si="52"/>
        <v>Dec</v>
      </c>
      <c r="E356" t="str">
        <f t="shared" si="53"/>
        <v>Q4</v>
      </c>
      <c r="F356">
        <f t="shared" si="54"/>
        <v>4</v>
      </c>
      <c r="G356">
        <f t="shared" si="55"/>
        <v>2024</v>
      </c>
      <c r="H356" t="str">
        <f t="shared" si="56"/>
        <v>2024-Dec</v>
      </c>
      <c r="I356" t="str">
        <f t="shared" si="57"/>
        <v>Fri</v>
      </c>
      <c r="J356" t="str">
        <f t="shared" si="58"/>
        <v>Weekday</v>
      </c>
    </row>
    <row r="357" spans="1:10" x14ac:dyDescent="0.25">
      <c r="A357" s="1">
        <f t="shared" si="59"/>
        <v>45647</v>
      </c>
      <c r="B357">
        <f t="shared" si="50"/>
        <v>21</v>
      </c>
      <c r="C357">
        <f t="shared" si="51"/>
        <v>12</v>
      </c>
      <c r="D357" t="str">
        <f t="shared" si="52"/>
        <v>Dec</v>
      </c>
      <c r="E357" t="str">
        <f t="shared" si="53"/>
        <v>Q4</v>
      </c>
      <c r="F357">
        <f t="shared" si="54"/>
        <v>4</v>
      </c>
      <c r="G357">
        <f t="shared" si="55"/>
        <v>2024</v>
      </c>
      <c r="H357" t="str">
        <f t="shared" si="56"/>
        <v>2024-Dec</v>
      </c>
      <c r="I357" t="str">
        <f t="shared" si="57"/>
        <v>Sat</v>
      </c>
      <c r="J357" t="str">
        <f t="shared" si="58"/>
        <v>Weekend</v>
      </c>
    </row>
    <row r="358" spans="1:10" x14ac:dyDescent="0.25">
      <c r="A358" s="1">
        <f t="shared" si="59"/>
        <v>45648</v>
      </c>
      <c r="B358">
        <f t="shared" si="50"/>
        <v>22</v>
      </c>
      <c r="C358">
        <f t="shared" si="51"/>
        <v>12</v>
      </c>
      <c r="D358" t="str">
        <f t="shared" si="52"/>
        <v>Dec</v>
      </c>
      <c r="E358" t="str">
        <f t="shared" si="53"/>
        <v>Q4</v>
      </c>
      <c r="F358">
        <f t="shared" si="54"/>
        <v>4</v>
      </c>
      <c r="G358">
        <f t="shared" si="55"/>
        <v>2024</v>
      </c>
      <c r="H358" t="str">
        <f t="shared" si="56"/>
        <v>2024-Dec</v>
      </c>
      <c r="I358" t="str">
        <f t="shared" si="57"/>
        <v>Sun</v>
      </c>
      <c r="J358" t="str">
        <f t="shared" si="58"/>
        <v>Weekend</v>
      </c>
    </row>
    <row r="359" spans="1:10" x14ac:dyDescent="0.25">
      <c r="A359" s="1">
        <f t="shared" si="59"/>
        <v>45649</v>
      </c>
      <c r="B359">
        <f t="shared" si="50"/>
        <v>23</v>
      </c>
      <c r="C359">
        <f t="shared" si="51"/>
        <v>12</v>
      </c>
      <c r="D359" t="str">
        <f t="shared" si="52"/>
        <v>Dec</v>
      </c>
      <c r="E359" t="str">
        <f t="shared" si="53"/>
        <v>Q4</v>
      </c>
      <c r="F359">
        <f t="shared" si="54"/>
        <v>4</v>
      </c>
      <c r="G359">
        <f t="shared" si="55"/>
        <v>2024</v>
      </c>
      <c r="H359" t="str">
        <f t="shared" si="56"/>
        <v>2024-Dec</v>
      </c>
      <c r="I359" t="str">
        <f t="shared" si="57"/>
        <v>Mon</v>
      </c>
      <c r="J359" t="str">
        <f t="shared" si="58"/>
        <v>Weekday</v>
      </c>
    </row>
    <row r="360" spans="1:10" x14ac:dyDescent="0.25">
      <c r="A360" s="1">
        <f t="shared" si="59"/>
        <v>45650</v>
      </c>
      <c r="B360">
        <f t="shared" si="50"/>
        <v>24</v>
      </c>
      <c r="C360">
        <f t="shared" si="51"/>
        <v>12</v>
      </c>
      <c r="D360" t="str">
        <f t="shared" si="52"/>
        <v>Dec</v>
      </c>
      <c r="E360" t="str">
        <f t="shared" si="53"/>
        <v>Q4</v>
      </c>
      <c r="F360">
        <f t="shared" si="54"/>
        <v>4</v>
      </c>
      <c r="G360">
        <f t="shared" si="55"/>
        <v>2024</v>
      </c>
      <c r="H360" t="str">
        <f t="shared" si="56"/>
        <v>2024-Dec</v>
      </c>
      <c r="I360" t="str">
        <f t="shared" si="57"/>
        <v>Tue</v>
      </c>
      <c r="J360" t="str">
        <f t="shared" si="58"/>
        <v>Weekday</v>
      </c>
    </row>
    <row r="361" spans="1:10" x14ac:dyDescent="0.25">
      <c r="A361" s="1">
        <f t="shared" si="59"/>
        <v>45651</v>
      </c>
      <c r="B361">
        <f t="shared" si="50"/>
        <v>25</v>
      </c>
      <c r="C361">
        <f t="shared" si="51"/>
        <v>12</v>
      </c>
      <c r="D361" t="str">
        <f t="shared" si="52"/>
        <v>Dec</v>
      </c>
      <c r="E361" t="str">
        <f t="shared" si="53"/>
        <v>Q4</v>
      </c>
      <c r="F361">
        <f t="shared" si="54"/>
        <v>4</v>
      </c>
      <c r="G361">
        <f t="shared" si="55"/>
        <v>2024</v>
      </c>
      <c r="H361" t="str">
        <f t="shared" si="56"/>
        <v>2024-Dec</v>
      </c>
      <c r="I361" t="str">
        <f t="shared" si="57"/>
        <v>Wed</v>
      </c>
      <c r="J361" t="str">
        <f t="shared" si="58"/>
        <v>Weekday</v>
      </c>
    </row>
    <row r="362" spans="1:10" x14ac:dyDescent="0.25">
      <c r="A362" s="1">
        <f t="shared" si="59"/>
        <v>45652</v>
      </c>
      <c r="B362">
        <f t="shared" si="50"/>
        <v>26</v>
      </c>
      <c r="C362">
        <f t="shared" si="51"/>
        <v>12</v>
      </c>
      <c r="D362" t="str">
        <f t="shared" si="52"/>
        <v>Dec</v>
      </c>
      <c r="E362" t="str">
        <f t="shared" si="53"/>
        <v>Q4</v>
      </c>
      <c r="F362">
        <f t="shared" si="54"/>
        <v>4</v>
      </c>
      <c r="G362">
        <f t="shared" si="55"/>
        <v>2024</v>
      </c>
      <c r="H362" t="str">
        <f t="shared" si="56"/>
        <v>2024-Dec</v>
      </c>
      <c r="I362" t="str">
        <f t="shared" si="57"/>
        <v>Thu</v>
      </c>
      <c r="J362" t="str">
        <f t="shared" si="58"/>
        <v>Weekday</v>
      </c>
    </row>
    <row r="363" spans="1:10" x14ac:dyDescent="0.25">
      <c r="A363" s="1">
        <f t="shared" si="59"/>
        <v>45653</v>
      </c>
      <c r="B363">
        <f t="shared" si="50"/>
        <v>27</v>
      </c>
      <c r="C363">
        <f t="shared" si="51"/>
        <v>12</v>
      </c>
      <c r="D363" t="str">
        <f t="shared" si="52"/>
        <v>Dec</v>
      </c>
      <c r="E363" t="str">
        <f t="shared" si="53"/>
        <v>Q4</v>
      </c>
      <c r="F363">
        <f t="shared" si="54"/>
        <v>4</v>
      </c>
      <c r="G363">
        <f t="shared" si="55"/>
        <v>2024</v>
      </c>
      <c r="H363" t="str">
        <f t="shared" si="56"/>
        <v>2024-Dec</v>
      </c>
      <c r="I363" t="str">
        <f t="shared" si="57"/>
        <v>Fri</v>
      </c>
      <c r="J363" t="str">
        <f t="shared" si="58"/>
        <v>Weekday</v>
      </c>
    </row>
    <row r="364" spans="1:10" x14ac:dyDescent="0.25">
      <c r="A364" s="1">
        <f t="shared" si="59"/>
        <v>45654</v>
      </c>
      <c r="B364">
        <f t="shared" si="50"/>
        <v>28</v>
      </c>
      <c r="C364">
        <f t="shared" si="51"/>
        <v>12</v>
      </c>
      <c r="D364" t="str">
        <f t="shared" si="52"/>
        <v>Dec</v>
      </c>
      <c r="E364" t="str">
        <f t="shared" si="53"/>
        <v>Q4</v>
      </c>
      <c r="F364">
        <f t="shared" si="54"/>
        <v>4</v>
      </c>
      <c r="G364">
        <f t="shared" si="55"/>
        <v>2024</v>
      </c>
      <c r="H364" t="str">
        <f t="shared" si="56"/>
        <v>2024-Dec</v>
      </c>
      <c r="I364" t="str">
        <f t="shared" si="57"/>
        <v>Sat</v>
      </c>
      <c r="J364" t="str">
        <f t="shared" si="58"/>
        <v>Weekend</v>
      </c>
    </row>
    <row r="365" spans="1:10" x14ac:dyDescent="0.25">
      <c r="A365" s="1">
        <f t="shared" si="59"/>
        <v>45655</v>
      </c>
      <c r="B365">
        <f t="shared" si="50"/>
        <v>29</v>
      </c>
      <c r="C365">
        <f t="shared" si="51"/>
        <v>12</v>
      </c>
      <c r="D365" t="str">
        <f t="shared" si="52"/>
        <v>Dec</v>
      </c>
      <c r="E365" t="str">
        <f t="shared" si="53"/>
        <v>Q4</v>
      </c>
      <c r="F365">
        <f t="shared" si="54"/>
        <v>4</v>
      </c>
      <c r="G365">
        <f t="shared" si="55"/>
        <v>2024</v>
      </c>
      <c r="H365" t="str">
        <f t="shared" si="56"/>
        <v>2024-Dec</v>
      </c>
      <c r="I365" t="str">
        <f t="shared" si="57"/>
        <v>Sun</v>
      </c>
      <c r="J365" t="str">
        <f t="shared" si="58"/>
        <v>Weekend</v>
      </c>
    </row>
    <row r="366" spans="1:10" x14ac:dyDescent="0.25">
      <c r="A366" s="1">
        <f t="shared" si="59"/>
        <v>45656</v>
      </c>
      <c r="B366">
        <f t="shared" si="50"/>
        <v>30</v>
      </c>
      <c r="C366">
        <f t="shared" si="51"/>
        <v>12</v>
      </c>
      <c r="D366" t="str">
        <f t="shared" si="52"/>
        <v>Dec</v>
      </c>
      <c r="E366" t="str">
        <f t="shared" si="53"/>
        <v>Q4</v>
      </c>
      <c r="F366">
        <f t="shared" si="54"/>
        <v>4</v>
      </c>
      <c r="G366">
        <f t="shared" si="55"/>
        <v>2024</v>
      </c>
      <c r="H366" t="str">
        <f t="shared" si="56"/>
        <v>2024-Dec</v>
      </c>
      <c r="I366" t="str">
        <f t="shared" si="57"/>
        <v>Mon</v>
      </c>
      <c r="J366" t="str">
        <f t="shared" si="58"/>
        <v>Weekday</v>
      </c>
    </row>
    <row r="367" spans="1:10" x14ac:dyDescent="0.25">
      <c r="A367" s="1">
        <f t="shared" si="59"/>
        <v>45657</v>
      </c>
      <c r="B367">
        <f t="shared" si="50"/>
        <v>31</v>
      </c>
      <c r="C367">
        <f t="shared" si="51"/>
        <v>12</v>
      </c>
      <c r="D367" t="str">
        <f t="shared" si="52"/>
        <v>Dec</v>
      </c>
      <c r="E367" t="str">
        <f t="shared" si="53"/>
        <v>Q4</v>
      </c>
      <c r="F367">
        <f t="shared" si="54"/>
        <v>4</v>
      </c>
      <c r="G367">
        <f t="shared" si="55"/>
        <v>2024</v>
      </c>
      <c r="H367" t="str">
        <f t="shared" si="56"/>
        <v>2024-Dec</v>
      </c>
      <c r="I367" t="str">
        <f t="shared" si="57"/>
        <v>Tue</v>
      </c>
      <c r="J367" t="str">
        <f t="shared" si="58"/>
        <v>Weekday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DDAB-610D-4EDA-BE8F-582E7D1AD650}">
  <dimension ref="A1:F13"/>
  <sheetViews>
    <sheetView tabSelected="1" workbookViewId="0">
      <selection activeCell="I5" sqref="I5"/>
    </sheetView>
  </sheetViews>
  <sheetFormatPr defaultColWidth="13.28515625" defaultRowHeight="15" x14ac:dyDescent="0.25"/>
  <cols>
    <col min="1" max="2" width="13.28515625" style="1"/>
  </cols>
  <sheetData>
    <row r="1" spans="1:6" x14ac:dyDescent="0.25">
      <c r="A1" s="1" t="s">
        <v>887</v>
      </c>
      <c r="B1" s="1" t="s">
        <v>884</v>
      </c>
      <c r="C1" t="s">
        <v>883</v>
      </c>
      <c r="D1" t="s">
        <v>3</v>
      </c>
      <c r="E1" t="s">
        <v>885</v>
      </c>
      <c r="F1" t="s">
        <v>886</v>
      </c>
    </row>
    <row r="2" spans="1:6" x14ac:dyDescent="0.25">
      <c r="A2" s="1" t="s">
        <v>18</v>
      </c>
      <c r="B2" s="1" t="s">
        <v>890</v>
      </c>
      <c r="C2">
        <v>1</v>
      </c>
      <c r="D2" t="s">
        <v>19</v>
      </c>
      <c r="E2">
        <v>1</v>
      </c>
      <c r="F2">
        <v>2024</v>
      </c>
    </row>
    <row r="3" spans="1:6" x14ac:dyDescent="0.25">
      <c r="A3" s="1" t="s">
        <v>46</v>
      </c>
      <c r="B3" s="1" t="s">
        <v>891</v>
      </c>
      <c r="C3">
        <v>2</v>
      </c>
      <c r="D3" t="s">
        <v>68</v>
      </c>
      <c r="E3">
        <v>1</v>
      </c>
      <c r="F3">
        <v>2024</v>
      </c>
    </row>
    <row r="4" spans="1:6" x14ac:dyDescent="0.25">
      <c r="A4" s="1" t="s">
        <v>56</v>
      </c>
      <c r="B4" s="1" t="s">
        <v>892</v>
      </c>
      <c r="C4">
        <v>3</v>
      </c>
      <c r="D4" t="s">
        <v>93</v>
      </c>
      <c r="E4">
        <v>1</v>
      </c>
      <c r="F4">
        <v>2024</v>
      </c>
    </row>
    <row r="5" spans="1:6" x14ac:dyDescent="0.25">
      <c r="A5" s="1" t="s">
        <v>67</v>
      </c>
      <c r="B5" s="1" t="s">
        <v>893</v>
      </c>
      <c r="C5">
        <v>4</v>
      </c>
      <c r="D5" t="s">
        <v>68</v>
      </c>
      <c r="E5">
        <v>2</v>
      </c>
      <c r="F5">
        <v>2024</v>
      </c>
    </row>
    <row r="6" spans="1:6" x14ac:dyDescent="0.25">
      <c r="A6" s="1" t="s">
        <v>78</v>
      </c>
      <c r="B6" s="1" t="s">
        <v>894</v>
      </c>
      <c r="C6">
        <v>5</v>
      </c>
      <c r="D6" t="s">
        <v>68</v>
      </c>
      <c r="E6">
        <v>2</v>
      </c>
      <c r="F6">
        <v>2024</v>
      </c>
    </row>
    <row r="7" spans="1:6" x14ac:dyDescent="0.25">
      <c r="A7" s="1" t="s">
        <v>84</v>
      </c>
      <c r="B7" s="1" t="s">
        <v>895</v>
      </c>
      <c r="C7">
        <v>6</v>
      </c>
      <c r="D7" t="s">
        <v>68</v>
      </c>
      <c r="E7">
        <v>2</v>
      </c>
      <c r="F7">
        <v>2024</v>
      </c>
    </row>
    <row r="8" spans="1:6" x14ac:dyDescent="0.25">
      <c r="A8" s="1" t="s">
        <v>92</v>
      </c>
      <c r="B8" s="1" t="s">
        <v>896</v>
      </c>
      <c r="C8">
        <v>7</v>
      </c>
      <c r="D8" t="s">
        <v>93</v>
      </c>
      <c r="E8">
        <v>3</v>
      </c>
      <c r="F8">
        <v>2024</v>
      </c>
    </row>
    <row r="9" spans="1:6" x14ac:dyDescent="0.25">
      <c r="A9" s="1" t="s">
        <v>102</v>
      </c>
      <c r="B9" s="1" t="s">
        <v>897</v>
      </c>
      <c r="C9">
        <v>8</v>
      </c>
      <c r="D9" t="s">
        <v>93</v>
      </c>
      <c r="E9">
        <v>3</v>
      </c>
      <c r="F9">
        <v>2024</v>
      </c>
    </row>
    <row r="10" spans="1:6" x14ac:dyDescent="0.25">
      <c r="A10" s="1" t="s">
        <v>106</v>
      </c>
      <c r="B10" s="1" t="s">
        <v>898</v>
      </c>
      <c r="C10">
        <v>9</v>
      </c>
      <c r="D10" t="s">
        <v>93</v>
      </c>
      <c r="E10">
        <v>3</v>
      </c>
      <c r="F10">
        <v>2024</v>
      </c>
    </row>
    <row r="11" spans="1:6" x14ac:dyDescent="0.25">
      <c r="A11" s="1" t="s">
        <v>115</v>
      </c>
      <c r="B11" s="1" t="s">
        <v>899</v>
      </c>
      <c r="C11">
        <v>10</v>
      </c>
      <c r="D11" t="s">
        <v>116</v>
      </c>
      <c r="E11">
        <v>4</v>
      </c>
      <c r="F11">
        <v>2024</v>
      </c>
    </row>
    <row r="12" spans="1:6" x14ac:dyDescent="0.25">
      <c r="A12" s="1" t="s">
        <v>125</v>
      </c>
      <c r="B12" s="1" t="s">
        <v>900</v>
      </c>
      <c r="C12">
        <v>11</v>
      </c>
      <c r="D12" t="s">
        <v>116</v>
      </c>
      <c r="E12">
        <v>4</v>
      </c>
      <c r="F12">
        <v>2024</v>
      </c>
    </row>
    <row r="13" spans="1:6" x14ac:dyDescent="0.25">
      <c r="A13" s="1" t="s">
        <v>134</v>
      </c>
      <c r="B13" s="1" t="s">
        <v>901</v>
      </c>
      <c r="C13">
        <v>12</v>
      </c>
      <c r="D13" t="s">
        <v>116</v>
      </c>
      <c r="E13">
        <v>4</v>
      </c>
      <c r="F13">
        <v>2024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5D5A-6249-4AAB-B9A9-BB9C65976925}">
  <dimension ref="A1:J785"/>
  <sheetViews>
    <sheetView workbookViewId="0">
      <selection sqref="A1:XFD1"/>
    </sheetView>
  </sheetViews>
  <sheetFormatPr defaultRowHeight="15" x14ac:dyDescent="0.25"/>
  <cols>
    <col min="1" max="1" width="11.7109375" customWidth="1"/>
    <col min="2" max="2" width="11.7109375" style="1" customWidth="1"/>
    <col min="3" max="4" width="11.7109375" customWidth="1"/>
    <col min="6" max="6" width="16"/>
    <col min="7" max="8" width="16" style="2"/>
    <col min="9" max="9" width="16"/>
    <col min="10" max="10" width="16" style="2"/>
  </cols>
  <sheetData>
    <row r="1" spans="1:10" s="3" customFormat="1" x14ac:dyDescent="0.25">
      <c r="A1" s="3" t="s">
        <v>0</v>
      </c>
      <c r="B1" s="5" t="s">
        <v>1</v>
      </c>
      <c r="C1" s="3" t="s">
        <v>4</v>
      </c>
      <c r="D1" s="3" t="s">
        <v>8</v>
      </c>
      <c r="E1" s="3" t="s">
        <v>875</v>
      </c>
      <c r="F1" s="3" t="s">
        <v>12</v>
      </c>
      <c r="G1" s="4" t="s">
        <v>13</v>
      </c>
      <c r="H1" s="4" t="s">
        <v>14</v>
      </c>
      <c r="I1" s="3" t="s">
        <v>15</v>
      </c>
      <c r="J1" s="4" t="s">
        <v>16</v>
      </c>
    </row>
    <row r="2" spans="1:10" x14ac:dyDescent="0.25">
      <c r="A2" t="s">
        <v>17</v>
      </c>
      <c r="B2" s="1">
        <v>45297</v>
      </c>
      <c r="C2" t="s">
        <v>20</v>
      </c>
      <c r="D2" t="s">
        <v>24</v>
      </c>
      <c r="E2" t="s">
        <v>878</v>
      </c>
      <c r="F2" t="s">
        <v>28</v>
      </c>
      <c r="G2" s="2">
        <v>4</v>
      </c>
      <c r="H2" s="2">
        <v>75000</v>
      </c>
      <c r="I2">
        <v>0.08</v>
      </c>
      <c r="J2" s="2">
        <v>276000</v>
      </c>
    </row>
    <row r="3" spans="1:10" x14ac:dyDescent="0.25">
      <c r="A3" t="s">
        <v>29</v>
      </c>
      <c r="B3" s="1">
        <v>45304</v>
      </c>
      <c r="C3" t="s">
        <v>20</v>
      </c>
      <c r="D3" t="s">
        <v>30</v>
      </c>
      <c r="E3" t="s">
        <v>877</v>
      </c>
      <c r="F3" t="s">
        <v>33</v>
      </c>
      <c r="G3" s="2">
        <v>1</v>
      </c>
      <c r="H3" s="2">
        <v>60000</v>
      </c>
      <c r="I3">
        <v>0.09</v>
      </c>
      <c r="J3" s="2">
        <v>54600</v>
      </c>
    </row>
    <row r="4" spans="1:10" x14ac:dyDescent="0.25">
      <c r="A4" t="s">
        <v>34</v>
      </c>
      <c r="B4" s="1">
        <v>45310</v>
      </c>
      <c r="C4" t="s">
        <v>20</v>
      </c>
      <c r="D4" t="s">
        <v>35</v>
      </c>
      <c r="E4" t="s">
        <v>878</v>
      </c>
      <c r="F4" t="s">
        <v>37</v>
      </c>
      <c r="G4" s="2">
        <v>4</v>
      </c>
      <c r="H4" s="2">
        <v>45000</v>
      </c>
      <c r="I4">
        <v>0.16</v>
      </c>
      <c r="J4" s="2">
        <v>151200</v>
      </c>
    </row>
    <row r="5" spans="1:10" x14ac:dyDescent="0.25">
      <c r="A5" t="s">
        <v>38</v>
      </c>
      <c r="B5" s="1">
        <v>45313</v>
      </c>
      <c r="C5" t="s">
        <v>20</v>
      </c>
      <c r="D5" t="s">
        <v>24</v>
      </c>
      <c r="E5" t="s">
        <v>878</v>
      </c>
      <c r="F5" t="s">
        <v>37</v>
      </c>
      <c r="G5" s="2">
        <v>2</v>
      </c>
      <c r="H5" s="2">
        <v>75000</v>
      </c>
      <c r="I5">
        <v>7.0000000000000007E-2</v>
      </c>
      <c r="J5" s="2">
        <v>139500</v>
      </c>
    </row>
    <row r="6" spans="1:10" x14ac:dyDescent="0.25">
      <c r="A6" t="s">
        <v>39</v>
      </c>
      <c r="B6" s="1">
        <v>45294</v>
      </c>
      <c r="C6" t="s">
        <v>20</v>
      </c>
      <c r="D6" t="s">
        <v>40</v>
      </c>
      <c r="E6" t="s">
        <v>880</v>
      </c>
      <c r="F6" t="s">
        <v>37</v>
      </c>
      <c r="G6" s="2">
        <v>5</v>
      </c>
      <c r="H6" s="2">
        <v>85000</v>
      </c>
      <c r="I6">
        <v>0.15</v>
      </c>
      <c r="J6" s="2">
        <v>361200</v>
      </c>
    </row>
    <row r="7" spans="1:10" x14ac:dyDescent="0.25">
      <c r="A7" t="s">
        <v>44</v>
      </c>
      <c r="B7" s="1">
        <v>45292</v>
      </c>
      <c r="C7" t="s">
        <v>20</v>
      </c>
      <c r="D7" t="s">
        <v>24</v>
      </c>
      <c r="E7" t="s">
        <v>880</v>
      </c>
      <c r="F7" t="s">
        <v>28</v>
      </c>
      <c r="G7" s="2">
        <v>1</v>
      </c>
      <c r="H7" s="2">
        <v>75000</v>
      </c>
      <c r="I7">
        <v>0.09</v>
      </c>
      <c r="J7" s="2">
        <v>68200</v>
      </c>
    </row>
    <row r="8" spans="1:10" x14ac:dyDescent="0.25">
      <c r="A8" t="s">
        <v>45</v>
      </c>
      <c r="B8" s="1">
        <v>45339</v>
      </c>
      <c r="C8" t="s">
        <v>20</v>
      </c>
      <c r="D8" t="s">
        <v>47</v>
      </c>
      <c r="E8" t="s">
        <v>878</v>
      </c>
      <c r="F8" t="s">
        <v>33</v>
      </c>
      <c r="G8" s="2">
        <v>5</v>
      </c>
      <c r="H8" s="2">
        <v>200000</v>
      </c>
      <c r="I8">
        <v>0.06</v>
      </c>
      <c r="J8" s="2">
        <v>940000</v>
      </c>
    </row>
    <row r="9" spans="1:10" x14ac:dyDescent="0.25">
      <c r="A9" t="s">
        <v>50</v>
      </c>
      <c r="B9" s="1">
        <v>45345</v>
      </c>
      <c r="C9" t="s">
        <v>20</v>
      </c>
      <c r="D9" t="s">
        <v>51</v>
      </c>
      <c r="E9" t="s">
        <v>878</v>
      </c>
      <c r="F9" t="s">
        <v>33</v>
      </c>
      <c r="G9" s="2">
        <v>3</v>
      </c>
      <c r="H9" s="2">
        <v>150000</v>
      </c>
      <c r="I9">
        <v>7.0000000000000007E-2</v>
      </c>
      <c r="J9" s="2">
        <v>418500</v>
      </c>
    </row>
    <row r="10" spans="1:10" x14ac:dyDescent="0.25">
      <c r="A10" t="s">
        <v>53</v>
      </c>
      <c r="B10" s="1">
        <v>45324</v>
      </c>
      <c r="C10" t="s">
        <v>20</v>
      </c>
      <c r="D10" t="s">
        <v>30</v>
      </c>
      <c r="E10" t="s">
        <v>877</v>
      </c>
      <c r="F10" t="s">
        <v>54</v>
      </c>
      <c r="G10" s="2">
        <v>5</v>
      </c>
      <c r="H10" s="2">
        <v>60000</v>
      </c>
      <c r="I10">
        <v>0.15</v>
      </c>
      <c r="J10" s="2">
        <v>255000</v>
      </c>
    </row>
    <row r="11" spans="1:10" x14ac:dyDescent="0.25">
      <c r="A11" t="s">
        <v>55</v>
      </c>
      <c r="B11" s="1">
        <v>45365</v>
      </c>
      <c r="C11" t="s">
        <v>20</v>
      </c>
      <c r="D11" t="s">
        <v>30</v>
      </c>
      <c r="E11" t="s">
        <v>877</v>
      </c>
      <c r="F11" t="s">
        <v>33</v>
      </c>
      <c r="G11" s="2">
        <v>4</v>
      </c>
      <c r="H11" s="2">
        <v>60000</v>
      </c>
      <c r="I11">
        <v>0.15</v>
      </c>
      <c r="J11" s="2">
        <v>204000</v>
      </c>
    </row>
    <row r="12" spans="1:10" x14ac:dyDescent="0.25">
      <c r="A12" t="s">
        <v>57</v>
      </c>
      <c r="B12" s="1">
        <v>45352</v>
      </c>
      <c r="C12" t="s">
        <v>20</v>
      </c>
      <c r="D12" t="s">
        <v>40</v>
      </c>
      <c r="E12" t="s">
        <v>880</v>
      </c>
      <c r="F12" t="s">
        <v>37</v>
      </c>
      <c r="G12" s="2">
        <v>2</v>
      </c>
      <c r="H12" s="2">
        <v>85000</v>
      </c>
      <c r="I12">
        <v>0.1</v>
      </c>
      <c r="J12" s="2">
        <v>153000</v>
      </c>
    </row>
    <row r="13" spans="1:10" x14ac:dyDescent="0.25">
      <c r="A13" t="s">
        <v>58</v>
      </c>
      <c r="B13" s="1">
        <v>45377</v>
      </c>
      <c r="C13" t="s">
        <v>20</v>
      </c>
      <c r="D13" t="s">
        <v>30</v>
      </c>
      <c r="E13" t="s">
        <v>877</v>
      </c>
      <c r="F13" t="s">
        <v>28</v>
      </c>
      <c r="G13" s="2">
        <v>5</v>
      </c>
      <c r="H13" s="2">
        <v>60000</v>
      </c>
      <c r="I13">
        <v>0.11</v>
      </c>
      <c r="J13" s="2">
        <v>267000</v>
      </c>
    </row>
    <row r="14" spans="1:10" x14ac:dyDescent="0.25">
      <c r="A14" t="s">
        <v>59</v>
      </c>
      <c r="B14" s="1">
        <v>45378</v>
      </c>
      <c r="C14" t="s">
        <v>20</v>
      </c>
      <c r="D14" t="s">
        <v>60</v>
      </c>
      <c r="E14" t="s">
        <v>878</v>
      </c>
      <c r="F14" t="s">
        <v>37</v>
      </c>
      <c r="G14" s="2">
        <v>3</v>
      </c>
      <c r="H14" s="2">
        <v>95000</v>
      </c>
      <c r="I14">
        <v>0.13</v>
      </c>
      <c r="J14" s="2">
        <v>248000</v>
      </c>
    </row>
    <row r="15" spans="1:10" x14ac:dyDescent="0.25">
      <c r="A15" t="s">
        <v>62</v>
      </c>
      <c r="B15" s="1">
        <v>45379</v>
      </c>
      <c r="C15" t="s">
        <v>20</v>
      </c>
      <c r="D15" t="s">
        <v>60</v>
      </c>
      <c r="E15" t="s">
        <v>878</v>
      </c>
      <c r="F15" t="s">
        <v>33</v>
      </c>
      <c r="G15" s="2">
        <v>1</v>
      </c>
      <c r="H15" s="2">
        <v>95000</v>
      </c>
      <c r="I15">
        <v>7.0000000000000007E-2</v>
      </c>
      <c r="J15" s="2">
        <v>88400</v>
      </c>
    </row>
    <row r="16" spans="1:10" x14ac:dyDescent="0.25">
      <c r="A16" t="s">
        <v>63</v>
      </c>
      <c r="B16" s="1">
        <v>45361</v>
      </c>
      <c r="C16" t="s">
        <v>20</v>
      </c>
      <c r="D16" t="s">
        <v>40</v>
      </c>
      <c r="E16" t="s">
        <v>878</v>
      </c>
      <c r="F16" t="s">
        <v>28</v>
      </c>
      <c r="G16" s="2">
        <v>1</v>
      </c>
      <c r="H16" s="2">
        <v>85000</v>
      </c>
      <c r="I16">
        <v>7.0000000000000007E-2</v>
      </c>
      <c r="J16" s="2">
        <v>79000</v>
      </c>
    </row>
    <row r="17" spans="1:10" x14ac:dyDescent="0.25">
      <c r="A17" t="s">
        <v>64</v>
      </c>
      <c r="B17" s="1">
        <v>45369</v>
      </c>
      <c r="C17" t="s">
        <v>20</v>
      </c>
      <c r="D17" t="s">
        <v>24</v>
      </c>
      <c r="E17" t="s">
        <v>879</v>
      </c>
      <c r="F17" t="s">
        <v>33</v>
      </c>
      <c r="G17" s="2">
        <v>2</v>
      </c>
      <c r="H17" s="2">
        <v>75000</v>
      </c>
      <c r="I17">
        <v>0.19</v>
      </c>
      <c r="J17" s="2">
        <v>121500</v>
      </c>
    </row>
    <row r="18" spans="1:10" x14ac:dyDescent="0.25">
      <c r="A18" t="s">
        <v>66</v>
      </c>
      <c r="B18" s="1">
        <v>45409</v>
      </c>
      <c r="C18" t="s">
        <v>20</v>
      </c>
      <c r="D18" t="s">
        <v>35</v>
      </c>
      <c r="E18" t="s">
        <v>879</v>
      </c>
      <c r="F18" t="s">
        <v>28</v>
      </c>
      <c r="G18" s="2">
        <v>3</v>
      </c>
      <c r="H18" s="2">
        <v>45000</v>
      </c>
      <c r="I18">
        <v>7.0000000000000007E-2</v>
      </c>
      <c r="J18" s="2">
        <v>125500</v>
      </c>
    </row>
    <row r="19" spans="1:10" x14ac:dyDescent="0.25">
      <c r="A19" t="s">
        <v>69</v>
      </c>
      <c r="B19" s="1">
        <v>45401</v>
      </c>
      <c r="C19" t="s">
        <v>20</v>
      </c>
      <c r="D19" t="s">
        <v>40</v>
      </c>
      <c r="E19" t="s">
        <v>877</v>
      </c>
      <c r="F19" t="s">
        <v>37</v>
      </c>
      <c r="G19" s="2">
        <v>5</v>
      </c>
      <c r="H19" s="2">
        <v>85000</v>
      </c>
      <c r="I19">
        <v>0.09</v>
      </c>
      <c r="J19" s="2">
        <v>386800</v>
      </c>
    </row>
    <row r="20" spans="1:10" x14ac:dyDescent="0.25">
      <c r="A20" t="s">
        <v>70</v>
      </c>
      <c r="B20" s="1">
        <v>45409</v>
      </c>
      <c r="C20" t="s">
        <v>20</v>
      </c>
      <c r="D20" t="s">
        <v>35</v>
      </c>
      <c r="E20" t="s">
        <v>880</v>
      </c>
      <c r="F20" t="s">
        <v>33</v>
      </c>
      <c r="G20" s="2">
        <v>4</v>
      </c>
      <c r="H20" s="2">
        <v>45000</v>
      </c>
      <c r="I20">
        <v>0.11</v>
      </c>
      <c r="J20" s="2">
        <v>160200</v>
      </c>
    </row>
    <row r="21" spans="1:10" x14ac:dyDescent="0.25">
      <c r="A21" t="s">
        <v>71</v>
      </c>
      <c r="B21" s="1">
        <v>45388</v>
      </c>
      <c r="C21" t="s">
        <v>20</v>
      </c>
      <c r="D21" t="s">
        <v>24</v>
      </c>
      <c r="E21" t="s">
        <v>877</v>
      </c>
      <c r="F21" t="s">
        <v>37</v>
      </c>
      <c r="G21" s="2">
        <v>3</v>
      </c>
      <c r="H21" s="2">
        <v>75000</v>
      </c>
      <c r="I21">
        <v>0.13</v>
      </c>
      <c r="J21" s="2">
        <v>195800</v>
      </c>
    </row>
    <row r="22" spans="1:10" x14ac:dyDescent="0.25">
      <c r="A22" t="s">
        <v>72</v>
      </c>
      <c r="B22" s="1">
        <v>45410</v>
      </c>
      <c r="C22" t="s">
        <v>20</v>
      </c>
      <c r="D22" t="s">
        <v>24</v>
      </c>
      <c r="E22" t="s">
        <v>878</v>
      </c>
      <c r="F22" t="s">
        <v>37</v>
      </c>
      <c r="G22" s="2">
        <v>4</v>
      </c>
      <c r="H22" s="2">
        <v>75000</v>
      </c>
      <c r="I22">
        <v>0.08</v>
      </c>
      <c r="J22" s="2">
        <v>276000</v>
      </c>
    </row>
    <row r="23" spans="1:10" x14ac:dyDescent="0.25">
      <c r="A23" t="s">
        <v>73</v>
      </c>
      <c r="B23" s="1">
        <v>45408</v>
      </c>
      <c r="C23" t="s">
        <v>20</v>
      </c>
      <c r="D23" t="s">
        <v>40</v>
      </c>
      <c r="E23" t="s">
        <v>878</v>
      </c>
      <c r="F23" t="s">
        <v>33</v>
      </c>
      <c r="G23" s="2">
        <v>3</v>
      </c>
      <c r="H23" s="2">
        <v>85000</v>
      </c>
      <c r="I23">
        <v>0.08</v>
      </c>
      <c r="J23" s="2">
        <v>234600</v>
      </c>
    </row>
    <row r="24" spans="1:10" x14ac:dyDescent="0.25">
      <c r="A24" t="s">
        <v>74</v>
      </c>
      <c r="B24" s="1">
        <v>45385</v>
      </c>
      <c r="C24" t="s">
        <v>20</v>
      </c>
      <c r="D24" t="s">
        <v>75</v>
      </c>
      <c r="E24" t="s">
        <v>880</v>
      </c>
      <c r="F24" t="s">
        <v>33</v>
      </c>
      <c r="G24" s="2">
        <v>4</v>
      </c>
      <c r="H24" s="2">
        <v>120000</v>
      </c>
      <c r="I24">
        <v>0.16</v>
      </c>
      <c r="J24" s="2">
        <v>403200</v>
      </c>
    </row>
    <row r="25" spans="1:10" x14ac:dyDescent="0.25">
      <c r="A25" t="s">
        <v>77</v>
      </c>
      <c r="B25" s="1">
        <v>45434</v>
      </c>
      <c r="C25" t="s">
        <v>20</v>
      </c>
      <c r="D25" t="s">
        <v>75</v>
      </c>
      <c r="E25" t="s">
        <v>879</v>
      </c>
      <c r="F25" t="s">
        <v>33</v>
      </c>
      <c r="G25" s="2">
        <v>1</v>
      </c>
      <c r="H25" s="2">
        <v>120000</v>
      </c>
      <c r="I25">
        <v>0.13</v>
      </c>
      <c r="J25" s="2">
        <v>104400</v>
      </c>
    </row>
    <row r="26" spans="1:10" x14ac:dyDescent="0.25">
      <c r="A26" t="s">
        <v>79</v>
      </c>
      <c r="B26" s="1">
        <v>45422</v>
      </c>
      <c r="C26" t="s">
        <v>20</v>
      </c>
      <c r="D26" t="s">
        <v>30</v>
      </c>
      <c r="E26" t="s">
        <v>880</v>
      </c>
      <c r="F26" t="s">
        <v>28</v>
      </c>
      <c r="G26" s="2">
        <v>3</v>
      </c>
      <c r="H26" s="2">
        <v>60000</v>
      </c>
      <c r="I26">
        <v>0.11</v>
      </c>
      <c r="J26" s="2">
        <v>160200</v>
      </c>
    </row>
    <row r="27" spans="1:10" x14ac:dyDescent="0.25">
      <c r="A27" t="s">
        <v>80</v>
      </c>
      <c r="B27" s="1">
        <v>45432</v>
      </c>
      <c r="C27" t="s">
        <v>20</v>
      </c>
      <c r="D27" t="s">
        <v>75</v>
      </c>
      <c r="E27" t="s">
        <v>880</v>
      </c>
      <c r="F27" t="s">
        <v>28</v>
      </c>
      <c r="G27" s="2">
        <v>4</v>
      </c>
      <c r="H27" s="2">
        <v>120000</v>
      </c>
      <c r="I27">
        <v>0.15</v>
      </c>
      <c r="J27" s="2">
        <v>408000</v>
      </c>
    </row>
    <row r="28" spans="1:10" x14ac:dyDescent="0.25">
      <c r="A28" t="s">
        <v>81</v>
      </c>
      <c r="B28" s="1">
        <v>45424</v>
      </c>
      <c r="C28" t="s">
        <v>20</v>
      </c>
      <c r="D28" t="s">
        <v>24</v>
      </c>
      <c r="E28" t="s">
        <v>877</v>
      </c>
      <c r="F28" t="s">
        <v>37</v>
      </c>
      <c r="G28" s="2">
        <v>3</v>
      </c>
      <c r="H28" s="2">
        <v>75000</v>
      </c>
      <c r="I28">
        <v>0.18</v>
      </c>
      <c r="J28" s="2">
        <v>184500</v>
      </c>
    </row>
    <row r="29" spans="1:10" x14ac:dyDescent="0.25">
      <c r="A29" t="s">
        <v>82</v>
      </c>
      <c r="B29" s="1">
        <v>45434</v>
      </c>
      <c r="C29" t="s">
        <v>20</v>
      </c>
      <c r="D29" t="s">
        <v>75</v>
      </c>
      <c r="E29" t="s">
        <v>878</v>
      </c>
      <c r="F29" t="s">
        <v>37</v>
      </c>
      <c r="G29" s="2">
        <v>2</v>
      </c>
      <c r="H29" s="2">
        <v>120000</v>
      </c>
      <c r="I29">
        <v>0.18</v>
      </c>
      <c r="J29" s="2">
        <v>196800</v>
      </c>
    </row>
    <row r="30" spans="1:10" x14ac:dyDescent="0.25">
      <c r="A30" t="s">
        <v>83</v>
      </c>
      <c r="B30" s="1">
        <v>45471</v>
      </c>
      <c r="C30" t="s">
        <v>20</v>
      </c>
      <c r="D30" t="s">
        <v>24</v>
      </c>
      <c r="E30" t="s">
        <v>879</v>
      </c>
      <c r="F30" t="s">
        <v>33</v>
      </c>
      <c r="G30" s="2">
        <v>2</v>
      </c>
      <c r="H30" s="2">
        <v>75000</v>
      </c>
      <c r="I30">
        <v>0.11</v>
      </c>
      <c r="J30" s="2">
        <v>133500</v>
      </c>
    </row>
    <row r="31" spans="1:10" x14ac:dyDescent="0.25">
      <c r="A31" t="s">
        <v>85</v>
      </c>
      <c r="B31" s="1">
        <v>45450</v>
      </c>
      <c r="C31" t="s">
        <v>20</v>
      </c>
      <c r="D31" t="s">
        <v>51</v>
      </c>
      <c r="E31" t="s">
        <v>877</v>
      </c>
      <c r="F31" t="s">
        <v>37</v>
      </c>
      <c r="G31" s="2">
        <v>1</v>
      </c>
      <c r="H31" s="2">
        <v>150000</v>
      </c>
      <c r="I31">
        <v>0.13</v>
      </c>
      <c r="J31" s="2">
        <v>130500</v>
      </c>
    </row>
    <row r="32" spans="1:10" x14ac:dyDescent="0.25">
      <c r="A32" t="s">
        <v>86</v>
      </c>
      <c r="B32" s="1">
        <v>45458</v>
      </c>
      <c r="C32" t="s">
        <v>20</v>
      </c>
      <c r="D32" t="s">
        <v>30</v>
      </c>
      <c r="E32" t="s">
        <v>878</v>
      </c>
      <c r="F32" t="s">
        <v>37</v>
      </c>
      <c r="G32" s="2">
        <v>5</v>
      </c>
      <c r="H32" s="2">
        <v>60000</v>
      </c>
      <c r="I32">
        <v>0.17</v>
      </c>
      <c r="J32" s="2">
        <v>249000</v>
      </c>
    </row>
    <row r="33" spans="1:10" x14ac:dyDescent="0.25">
      <c r="A33" t="s">
        <v>87</v>
      </c>
      <c r="B33" s="1">
        <v>45464</v>
      </c>
      <c r="C33" t="s">
        <v>20</v>
      </c>
      <c r="D33" t="s">
        <v>24</v>
      </c>
      <c r="E33" t="s">
        <v>879</v>
      </c>
      <c r="F33" t="s">
        <v>28</v>
      </c>
      <c r="G33" s="2">
        <v>4</v>
      </c>
      <c r="H33" s="2">
        <v>75000</v>
      </c>
      <c r="I33">
        <v>0.13</v>
      </c>
      <c r="J33" s="2">
        <v>261000</v>
      </c>
    </row>
    <row r="34" spans="1:10" x14ac:dyDescent="0.25">
      <c r="A34" t="s">
        <v>88</v>
      </c>
      <c r="B34" s="1">
        <v>45446</v>
      </c>
      <c r="C34" t="s">
        <v>20</v>
      </c>
      <c r="D34" t="s">
        <v>51</v>
      </c>
      <c r="E34" t="s">
        <v>877</v>
      </c>
      <c r="F34" t="s">
        <v>54</v>
      </c>
      <c r="G34" s="2">
        <v>1</v>
      </c>
      <c r="H34" s="2">
        <v>150000</v>
      </c>
      <c r="I34">
        <v>0.17</v>
      </c>
      <c r="J34" s="2">
        <v>124500</v>
      </c>
    </row>
    <row r="35" spans="1:10" x14ac:dyDescent="0.25">
      <c r="A35" t="s">
        <v>89</v>
      </c>
      <c r="B35" s="1">
        <v>45461</v>
      </c>
      <c r="C35" t="s">
        <v>20</v>
      </c>
      <c r="D35" t="s">
        <v>24</v>
      </c>
      <c r="E35" t="s">
        <v>879</v>
      </c>
      <c r="F35" t="s">
        <v>28</v>
      </c>
      <c r="G35" s="2">
        <v>3</v>
      </c>
      <c r="H35" s="2">
        <v>75000</v>
      </c>
      <c r="I35">
        <v>0.11</v>
      </c>
      <c r="J35" s="2">
        <v>200200</v>
      </c>
    </row>
    <row r="36" spans="1:10" x14ac:dyDescent="0.25">
      <c r="A36" t="s">
        <v>90</v>
      </c>
      <c r="B36" s="1">
        <v>45449</v>
      </c>
      <c r="C36" t="s">
        <v>20</v>
      </c>
      <c r="D36" t="s">
        <v>40</v>
      </c>
      <c r="E36" t="s">
        <v>879</v>
      </c>
      <c r="F36" t="s">
        <v>33</v>
      </c>
      <c r="G36" s="2">
        <v>4</v>
      </c>
      <c r="H36" s="2">
        <v>85000</v>
      </c>
      <c r="I36">
        <v>0.11</v>
      </c>
      <c r="J36" s="2">
        <v>302600</v>
      </c>
    </row>
    <row r="37" spans="1:10" x14ac:dyDescent="0.25">
      <c r="A37" t="s">
        <v>91</v>
      </c>
      <c r="B37" s="1">
        <v>45488</v>
      </c>
      <c r="C37" t="s">
        <v>20</v>
      </c>
      <c r="D37" t="s">
        <v>47</v>
      </c>
      <c r="E37" t="s">
        <v>880</v>
      </c>
      <c r="F37" t="s">
        <v>33</v>
      </c>
      <c r="G37" s="2">
        <v>2</v>
      </c>
      <c r="H37" s="2">
        <v>200000</v>
      </c>
      <c r="I37">
        <v>0.18</v>
      </c>
      <c r="J37" s="2">
        <v>328000</v>
      </c>
    </row>
    <row r="38" spans="1:10" x14ac:dyDescent="0.25">
      <c r="A38" t="s">
        <v>94</v>
      </c>
      <c r="B38" s="1">
        <v>45482</v>
      </c>
      <c r="C38" t="s">
        <v>20</v>
      </c>
      <c r="D38" t="s">
        <v>30</v>
      </c>
      <c r="E38" t="s">
        <v>880</v>
      </c>
      <c r="F38" t="s">
        <v>33</v>
      </c>
      <c r="G38" s="2">
        <v>3</v>
      </c>
      <c r="H38" s="2">
        <v>60000</v>
      </c>
      <c r="I38">
        <v>0.09</v>
      </c>
      <c r="J38" s="2">
        <v>163800</v>
      </c>
    </row>
    <row r="39" spans="1:10" x14ac:dyDescent="0.25">
      <c r="A39" t="s">
        <v>95</v>
      </c>
      <c r="B39" s="1">
        <v>45494</v>
      </c>
      <c r="C39" t="s">
        <v>20</v>
      </c>
      <c r="D39" t="s">
        <v>30</v>
      </c>
      <c r="E39" t="s">
        <v>880</v>
      </c>
      <c r="F39" t="s">
        <v>28</v>
      </c>
      <c r="G39" s="2">
        <v>4</v>
      </c>
      <c r="H39" s="2">
        <v>60000</v>
      </c>
      <c r="I39">
        <v>0.14000000000000001</v>
      </c>
      <c r="J39" s="2">
        <v>206400</v>
      </c>
    </row>
    <row r="40" spans="1:10" x14ac:dyDescent="0.25">
      <c r="A40" t="s">
        <v>96</v>
      </c>
      <c r="B40" s="1">
        <v>45488</v>
      </c>
      <c r="C40" t="s">
        <v>20</v>
      </c>
      <c r="D40" t="s">
        <v>40</v>
      </c>
      <c r="E40" t="s">
        <v>877</v>
      </c>
      <c r="F40" t="s">
        <v>54</v>
      </c>
      <c r="G40" s="2">
        <v>5</v>
      </c>
      <c r="H40" s="2">
        <v>85000</v>
      </c>
      <c r="I40">
        <v>0.09</v>
      </c>
      <c r="J40" s="2">
        <v>386800</v>
      </c>
    </row>
    <row r="41" spans="1:10" x14ac:dyDescent="0.25">
      <c r="A41" t="s">
        <v>97</v>
      </c>
      <c r="B41" s="1">
        <v>45494</v>
      </c>
      <c r="C41" t="s">
        <v>20</v>
      </c>
      <c r="D41" t="s">
        <v>47</v>
      </c>
      <c r="E41" t="s">
        <v>877</v>
      </c>
      <c r="F41" t="s">
        <v>37</v>
      </c>
      <c r="G41" s="2">
        <v>4</v>
      </c>
      <c r="H41" s="2">
        <v>200000</v>
      </c>
      <c r="I41">
        <v>0.06</v>
      </c>
      <c r="J41" s="2">
        <v>752000</v>
      </c>
    </row>
    <row r="42" spans="1:10" x14ac:dyDescent="0.25">
      <c r="A42" t="s">
        <v>98</v>
      </c>
      <c r="B42" s="1">
        <v>45482</v>
      </c>
      <c r="C42" t="s">
        <v>20</v>
      </c>
      <c r="D42" t="s">
        <v>51</v>
      </c>
      <c r="E42" t="s">
        <v>878</v>
      </c>
      <c r="F42" t="s">
        <v>28</v>
      </c>
      <c r="G42" s="2">
        <v>5</v>
      </c>
      <c r="H42" s="2">
        <v>150000</v>
      </c>
      <c r="I42">
        <v>0.1</v>
      </c>
      <c r="J42" s="2">
        <v>675000</v>
      </c>
    </row>
    <row r="43" spans="1:10" x14ac:dyDescent="0.25">
      <c r="A43" t="s">
        <v>99</v>
      </c>
      <c r="B43" s="1">
        <v>45484</v>
      </c>
      <c r="C43" t="s">
        <v>20</v>
      </c>
      <c r="D43" t="s">
        <v>51</v>
      </c>
      <c r="E43" t="s">
        <v>878</v>
      </c>
      <c r="F43" t="s">
        <v>37</v>
      </c>
      <c r="G43" s="2">
        <v>4</v>
      </c>
      <c r="H43" s="2">
        <v>150000</v>
      </c>
      <c r="I43">
        <v>0.06</v>
      </c>
      <c r="J43" s="2">
        <v>564000</v>
      </c>
    </row>
    <row r="44" spans="1:10" x14ac:dyDescent="0.25">
      <c r="A44" t="s">
        <v>100</v>
      </c>
      <c r="B44" s="1">
        <v>45498</v>
      </c>
      <c r="C44" t="s">
        <v>20</v>
      </c>
      <c r="D44" t="s">
        <v>30</v>
      </c>
      <c r="E44" t="s">
        <v>880</v>
      </c>
      <c r="F44" t="s">
        <v>28</v>
      </c>
      <c r="G44" s="2">
        <v>4</v>
      </c>
      <c r="H44" s="2">
        <v>60000</v>
      </c>
      <c r="I44">
        <v>0.06</v>
      </c>
      <c r="J44" s="2">
        <v>225600</v>
      </c>
    </row>
    <row r="45" spans="1:10" x14ac:dyDescent="0.25">
      <c r="A45" t="s">
        <v>101</v>
      </c>
      <c r="B45" s="1">
        <v>45513</v>
      </c>
      <c r="C45" t="s">
        <v>20</v>
      </c>
      <c r="D45" t="s">
        <v>35</v>
      </c>
      <c r="E45" t="s">
        <v>879</v>
      </c>
      <c r="F45" t="s">
        <v>37</v>
      </c>
      <c r="G45" s="2">
        <v>1</v>
      </c>
      <c r="H45" s="2">
        <v>45000</v>
      </c>
      <c r="I45">
        <v>0.12</v>
      </c>
      <c r="J45" s="2">
        <v>39600</v>
      </c>
    </row>
    <row r="46" spans="1:10" x14ac:dyDescent="0.25">
      <c r="A46" t="s">
        <v>103</v>
      </c>
      <c r="B46" s="1">
        <v>45529</v>
      </c>
      <c r="C46" t="s">
        <v>20</v>
      </c>
      <c r="D46" t="s">
        <v>40</v>
      </c>
      <c r="E46" t="s">
        <v>878</v>
      </c>
      <c r="F46" t="s">
        <v>37</v>
      </c>
      <c r="G46" s="2">
        <v>5</v>
      </c>
      <c r="H46" s="2">
        <v>85000</v>
      </c>
      <c r="I46">
        <v>0.19</v>
      </c>
      <c r="J46" s="2">
        <v>344200</v>
      </c>
    </row>
    <row r="47" spans="1:10" x14ac:dyDescent="0.25">
      <c r="A47" t="s">
        <v>104</v>
      </c>
      <c r="B47" s="1">
        <v>45531</v>
      </c>
      <c r="C47" t="s">
        <v>20</v>
      </c>
      <c r="D47" t="s">
        <v>40</v>
      </c>
      <c r="E47" t="s">
        <v>878</v>
      </c>
      <c r="F47" t="s">
        <v>28</v>
      </c>
      <c r="G47" s="2">
        <v>1</v>
      </c>
      <c r="H47" s="2">
        <v>85000</v>
      </c>
      <c r="I47">
        <v>0.16</v>
      </c>
      <c r="J47" s="2">
        <v>71400</v>
      </c>
    </row>
    <row r="48" spans="1:10" x14ac:dyDescent="0.25">
      <c r="A48" t="s">
        <v>105</v>
      </c>
      <c r="B48" s="1">
        <v>45556</v>
      </c>
      <c r="C48" t="s">
        <v>20</v>
      </c>
      <c r="D48" t="s">
        <v>40</v>
      </c>
      <c r="E48" t="s">
        <v>880</v>
      </c>
      <c r="F48" t="s">
        <v>28</v>
      </c>
      <c r="G48" s="2">
        <v>1</v>
      </c>
      <c r="H48" s="2">
        <v>85000</v>
      </c>
      <c r="I48">
        <v>0.16</v>
      </c>
      <c r="J48" s="2">
        <v>71400</v>
      </c>
    </row>
    <row r="49" spans="1:10" x14ac:dyDescent="0.25">
      <c r="A49" t="s">
        <v>107</v>
      </c>
      <c r="B49" s="1">
        <v>45560</v>
      </c>
      <c r="C49" t="s">
        <v>20</v>
      </c>
      <c r="D49" t="s">
        <v>47</v>
      </c>
      <c r="E49" t="s">
        <v>878</v>
      </c>
      <c r="F49" t="s">
        <v>37</v>
      </c>
      <c r="G49" s="2">
        <v>2</v>
      </c>
      <c r="H49" s="2">
        <v>200000</v>
      </c>
      <c r="I49">
        <v>0.14000000000000001</v>
      </c>
      <c r="J49" s="2">
        <v>344000</v>
      </c>
    </row>
    <row r="50" spans="1:10" x14ac:dyDescent="0.25">
      <c r="A50" t="s">
        <v>108</v>
      </c>
      <c r="B50" s="1">
        <v>45549</v>
      </c>
      <c r="C50" t="s">
        <v>20</v>
      </c>
      <c r="D50" t="s">
        <v>51</v>
      </c>
      <c r="E50" t="s">
        <v>878</v>
      </c>
      <c r="F50" t="s">
        <v>37</v>
      </c>
      <c r="G50" s="2">
        <v>3</v>
      </c>
      <c r="H50" s="2">
        <v>150000</v>
      </c>
      <c r="I50">
        <v>0.17</v>
      </c>
      <c r="J50" s="2">
        <v>373500</v>
      </c>
    </row>
    <row r="51" spans="1:10" x14ac:dyDescent="0.25">
      <c r="A51" t="s">
        <v>109</v>
      </c>
      <c r="B51" s="1">
        <v>45556</v>
      </c>
      <c r="C51" t="s">
        <v>20</v>
      </c>
      <c r="D51" t="s">
        <v>30</v>
      </c>
      <c r="E51" t="s">
        <v>877</v>
      </c>
      <c r="F51" t="s">
        <v>28</v>
      </c>
      <c r="G51" s="2">
        <v>1</v>
      </c>
      <c r="H51" s="2">
        <v>60000</v>
      </c>
      <c r="I51">
        <v>7.0000000000000007E-2</v>
      </c>
      <c r="J51" s="2">
        <v>55800</v>
      </c>
    </row>
    <row r="52" spans="1:10" x14ac:dyDescent="0.25">
      <c r="A52" t="s">
        <v>110</v>
      </c>
      <c r="B52" s="1">
        <v>45543</v>
      </c>
      <c r="C52" t="s">
        <v>20</v>
      </c>
      <c r="D52" t="s">
        <v>24</v>
      </c>
      <c r="E52" t="s">
        <v>880</v>
      </c>
      <c r="F52" t="s">
        <v>54</v>
      </c>
      <c r="G52" s="2">
        <v>1</v>
      </c>
      <c r="H52" s="2">
        <v>75000</v>
      </c>
      <c r="I52">
        <v>0.17</v>
      </c>
      <c r="J52" s="2">
        <v>62200</v>
      </c>
    </row>
    <row r="53" spans="1:10" x14ac:dyDescent="0.25">
      <c r="A53" t="s">
        <v>111</v>
      </c>
      <c r="B53" s="1">
        <v>45547</v>
      </c>
      <c r="C53" t="s">
        <v>20</v>
      </c>
      <c r="D53" t="s">
        <v>30</v>
      </c>
      <c r="E53" t="s">
        <v>879</v>
      </c>
      <c r="F53" t="s">
        <v>37</v>
      </c>
      <c r="G53" s="2">
        <v>2</v>
      </c>
      <c r="H53" s="2">
        <v>60000</v>
      </c>
      <c r="I53">
        <v>0.17</v>
      </c>
      <c r="J53" s="2">
        <v>99600</v>
      </c>
    </row>
    <row r="54" spans="1:10" x14ac:dyDescent="0.25">
      <c r="A54" t="s">
        <v>112</v>
      </c>
      <c r="B54" s="1">
        <v>45545</v>
      </c>
      <c r="C54" t="s">
        <v>20</v>
      </c>
      <c r="D54" t="s">
        <v>51</v>
      </c>
      <c r="E54" t="s">
        <v>878</v>
      </c>
      <c r="F54" t="s">
        <v>28</v>
      </c>
      <c r="G54" s="2">
        <v>5</v>
      </c>
      <c r="H54" s="2">
        <v>150000</v>
      </c>
      <c r="I54">
        <v>0.11</v>
      </c>
      <c r="J54" s="2">
        <v>667500</v>
      </c>
    </row>
    <row r="55" spans="1:10" x14ac:dyDescent="0.25">
      <c r="A55" t="s">
        <v>113</v>
      </c>
      <c r="B55" s="1">
        <v>45545</v>
      </c>
      <c r="C55" t="s">
        <v>20</v>
      </c>
      <c r="D55" t="s">
        <v>51</v>
      </c>
      <c r="E55" t="s">
        <v>879</v>
      </c>
      <c r="F55" t="s">
        <v>54</v>
      </c>
      <c r="G55" s="2">
        <v>3</v>
      </c>
      <c r="H55" s="2">
        <v>150000</v>
      </c>
      <c r="I55">
        <v>0.17</v>
      </c>
      <c r="J55" s="2">
        <v>373500</v>
      </c>
    </row>
    <row r="56" spans="1:10" x14ac:dyDescent="0.25">
      <c r="A56" t="s">
        <v>114</v>
      </c>
      <c r="B56" s="1">
        <v>45567</v>
      </c>
      <c r="C56" t="s">
        <v>20</v>
      </c>
      <c r="D56" t="s">
        <v>60</v>
      </c>
      <c r="E56" t="s">
        <v>879</v>
      </c>
      <c r="F56" t="s">
        <v>28</v>
      </c>
      <c r="G56" s="2">
        <v>4</v>
      </c>
      <c r="H56" s="2">
        <v>95000</v>
      </c>
      <c r="I56">
        <v>0.17</v>
      </c>
      <c r="J56" s="2">
        <v>315400</v>
      </c>
    </row>
    <row r="57" spans="1:10" x14ac:dyDescent="0.25">
      <c r="A57" t="s">
        <v>117</v>
      </c>
      <c r="B57" s="1">
        <v>45591</v>
      </c>
      <c r="C57" t="s">
        <v>20</v>
      </c>
      <c r="D57" t="s">
        <v>47</v>
      </c>
      <c r="E57" t="s">
        <v>877</v>
      </c>
      <c r="F57" t="s">
        <v>33</v>
      </c>
      <c r="G57" s="2">
        <v>3</v>
      </c>
      <c r="H57" s="2">
        <v>200000</v>
      </c>
      <c r="I57">
        <v>0.15</v>
      </c>
      <c r="J57" s="2">
        <v>510000</v>
      </c>
    </row>
    <row r="58" spans="1:10" x14ac:dyDescent="0.25">
      <c r="A58" t="s">
        <v>118</v>
      </c>
      <c r="B58" s="1">
        <v>45570</v>
      </c>
      <c r="C58" t="s">
        <v>20</v>
      </c>
      <c r="D58" t="s">
        <v>75</v>
      </c>
      <c r="E58" t="s">
        <v>877</v>
      </c>
      <c r="F58" t="s">
        <v>37</v>
      </c>
      <c r="G58" s="2">
        <v>5</v>
      </c>
      <c r="H58" s="2">
        <v>120000</v>
      </c>
      <c r="I58">
        <v>0.08</v>
      </c>
      <c r="J58" s="2">
        <v>552000</v>
      </c>
    </row>
    <row r="59" spans="1:10" x14ac:dyDescent="0.25">
      <c r="A59" t="s">
        <v>119</v>
      </c>
      <c r="B59" s="1">
        <v>45590</v>
      </c>
      <c r="C59" t="s">
        <v>20</v>
      </c>
      <c r="D59" t="s">
        <v>24</v>
      </c>
      <c r="E59" t="s">
        <v>878</v>
      </c>
      <c r="F59" t="s">
        <v>28</v>
      </c>
      <c r="G59" s="2">
        <v>4</v>
      </c>
      <c r="H59" s="2">
        <v>75000</v>
      </c>
      <c r="I59">
        <v>0.13</v>
      </c>
      <c r="J59" s="2">
        <v>261000</v>
      </c>
    </row>
    <row r="60" spans="1:10" x14ac:dyDescent="0.25">
      <c r="A60" t="s">
        <v>120</v>
      </c>
      <c r="B60" s="1">
        <v>45586</v>
      </c>
      <c r="C60" t="s">
        <v>20</v>
      </c>
      <c r="D60" t="s">
        <v>24</v>
      </c>
      <c r="E60" t="s">
        <v>879</v>
      </c>
      <c r="F60" t="s">
        <v>28</v>
      </c>
      <c r="G60" s="2">
        <v>1</v>
      </c>
      <c r="H60" s="2">
        <v>75000</v>
      </c>
      <c r="I60">
        <v>0.08</v>
      </c>
      <c r="J60" s="2">
        <v>69000</v>
      </c>
    </row>
    <row r="61" spans="1:10" x14ac:dyDescent="0.25">
      <c r="A61" t="s">
        <v>121</v>
      </c>
      <c r="B61" s="1">
        <v>45566</v>
      </c>
      <c r="C61" t="s">
        <v>20</v>
      </c>
      <c r="D61" t="s">
        <v>40</v>
      </c>
      <c r="E61" t="s">
        <v>878</v>
      </c>
      <c r="F61" t="s">
        <v>28</v>
      </c>
      <c r="G61" s="2">
        <v>4</v>
      </c>
      <c r="H61" s="2">
        <v>85000</v>
      </c>
      <c r="I61">
        <v>0.05</v>
      </c>
      <c r="J61" s="2">
        <v>323000</v>
      </c>
    </row>
    <row r="62" spans="1:10" x14ac:dyDescent="0.25">
      <c r="A62" t="s">
        <v>122</v>
      </c>
      <c r="B62" s="1">
        <v>45574</v>
      </c>
      <c r="C62" t="s">
        <v>20</v>
      </c>
      <c r="D62" t="s">
        <v>30</v>
      </c>
      <c r="E62" t="s">
        <v>878</v>
      </c>
      <c r="F62" t="s">
        <v>33</v>
      </c>
      <c r="G62" s="2">
        <v>3</v>
      </c>
      <c r="H62" s="2">
        <v>60000</v>
      </c>
      <c r="I62">
        <v>0.06</v>
      </c>
      <c r="J62" s="2">
        <v>169200</v>
      </c>
    </row>
    <row r="63" spans="1:10" x14ac:dyDescent="0.25">
      <c r="A63" t="s">
        <v>123</v>
      </c>
      <c r="B63" s="1">
        <v>45567</v>
      </c>
      <c r="C63" t="s">
        <v>20</v>
      </c>
      <c r="D63" t="s">
        <v>30</v>
      </c>
      <c r="E63" t="s">
        <v>880</v>
      </c>
      <c r="F63" t="s">
        <v>33</v>
      </c>
      <c r="G63" s="2">
        <v>1</v>
      </c>
      <c r="H63" s="2">
        <v>60000</v>
      </c>
      <c r="I63">
        <v>0.19</v>
      </c>
      <c r="J63" s="2">
        <v>48600</v>
      </c>
    </row>
    <row r="64" spans="1:10" x14ac:dyDescent="0.25">
      <c r="A64" t="s">
        <v>124</v>
      </c>
      <c r="B64" s="1">
        <v>45607</v>
      </c>
      <c r="C64" t="s">
        <v>20</v>
      </c>
      <c r="D64" t="s">
        <v>40</v>
      </c>
      <c r="E64" t="s">
        <v>880</v>
      </c>
      <c r="F64" t="s">
        <v>28</v>
      </c>
      <c r="G64" s="2">
        <v>2</v>
      </c>
      <c r="H64" s="2">
        <v>85000</v>
      </c>
      <c r="I64">
        <v>0.14000000000000001</v>
      </c>
      <c r="J64" s="2">
        <v>146200</v>
      </c>
    </row>
    <row r="65" spans="1:10" x14ac:dyDescent="0.25">
      <c r="A65" t="s">
        <v>126</v>
      </c>
      <c r="B65" s="1">
        <v>45613</v>
      </c>
      <c r="C65" t="s">
        <v>20</v>
      </c>
      <c r="D65" t="s">
        <v>60</v>
      </c>
      <c r="E65" t="s">
        <v>878</v>
      </c>
      <c r="F65" t="s">
        <v>28</v>
      </c>
      <c r="G65" s="2">
        <v>5</v>
      </c>
      <c r="H65" s="2">
        <v>95000</v>
      </c>
      <c r="I65">
        <v>0.06</v>
      </c>
      <c r="J65" s="2">
        <v>446500</v>
      </c>
    </row>
    <row r="66" spans="1:10" x14ac:dyDescent="0.25">
      <c r="A66" t="s">
        <v>127</v>
      </c>
      <c r="B66" s="1">
        <v>45600</v>
      </c>
      <c r="C66" t="s">
        <v>20</v>
      </c>
      <c r="D66" t="s">
        <v>60</v>
      </c>
      <c r="E66" t="s">
        <v>880</v>
      </c>
      <c r="F66" t="s">
        <v>28</v>
      </c>
      <c r="G66" s="2">
        <v>2</v>
      </c>
      <c r="H66" s="2">
        <v>95000</v>
      </c>
      <c r="I66">
        <v>0.16</v>
      </c>
      <c r="J66" s="2">
        <v>159600</v>
      </c>
    </row>
    <row r="67" spans="1:10" x14ac:dyDescent="0.25">
      <c r="A67" t="s">
        <v>128</v>
      </c>
      <c r="B67" s="1">
        <v>45604</v>
      </c>
      <c r="C67" t="s">
        <v>20</v>
      </c>
      <c r="D67" t="s">
        <v>30</v>
      </c>
      <c r="E67" t="s">
        <v>878</v>
      </c>
      <c r="F67" t="s">
        <v>37</v>
      </c>
      <c r="G67" s="2">
        <v>2</v>
      </c>
      <c r="H67" s="2">
        <v>60000</v>
      </c>
      <c r="I67">
        <v>0.12</v>
      </c>
      <c r="J67" s="2">
        <v>105600</v>
      </c>
    </row>
    <row r="68" spans="1:10" x14ac:dyDescent="0.25">
      <c r="A68" t="s">
        <v>129</v>
      </c>
      <c r="B68" s="1">
        <v>45613</v>
      </c>
      <c r="C68" t="s">
        <v>20</v>
      </c>
      <c r="D68" t="s">
        <v>30</v>
      </c>
      <c r="E68" t="s">
        <v>877</v>
      </c>
      <c r="F68" t="s">
        <v>28</v>
      </c>
      <c r="G68" s="2">
        <v>5</v>
      </c>
      <c r="H68" s="2">
        <v>60000</v>
      </c>
      <c r="I68">
        <v>0.15</v>
      </c>
      <c r="J68" s="2">
        <v>255000</v>
      </c>
    </row>
    <row r="69" spans="1:10" x14ac:dyDescent="0.25">
      <c r="A69" t="s">
        <v>130</v>
      </c>
      <c r="B69" s="1">
        <v>45619</v>
      </c>
      <c r="C69" t="s">
        <v>20</v>
      </c>
      <c r="D69" t="s">
        <v>35</v>
      </c>
      <c r="E69" t="s">
        <v>880</v>
      </c>
      <c r="F69" t="s">
        <v>33</v>
      </c>
      <c r="G69" s="2">
        <v>5</v>
      </c>
      <c r="H69" s="2">
        <v>45000</v>
      </c>
      <c r="I69">
        <v>0.08</v>
      </c>
      <c r="J69" s="2">
        <v>207000</v>
      </c>
    </row>
    <row r="70" spans="1:10" x14ac:dyDescent="0.25">
      <c r="A70" t="s">
        <v>131</v>
      </c>
      <c r="B70" s="1">
        <v>45621</v>
      </c>
      <c r="C70" t="s">
        <v>20</v>
      </c>
      <c r="D70" t="s">
        <v>40</v>
      </c>
      <c r="E70" t="s">
        <v>879</v>
      </c>
      <c r="F70" t="s">
        <v>33</v>
      </c>
      <c r="G70" s="2">
        <v>2</v>
      </c>
      <c r="H70" s="2">
        <v>85000</v>
      </c>
      <c r="I70">
        <v>0.09</v>
      </c>
      <c r="J70" s="2">
        <v>154700</v>
      </c>
    </row>
    <row r="71" spans="1:10" x14ac:dyDescent="0.25">
      <c r="A71" t="s">
        <v>132</v>
      </c>
      <c r="B71" s="1">
        <v>45597</v>
      </c>
      <c r="C71" t="s">
        <v>20</v>
      </c>
      <c r="D71" t="s">
        <v>35</v>
      </c>
      <c r="E71" t="s">
        <v>877</v>
      </c>
      <c r="F71" t="s">
        <v>33</v>
      </c>
      <c r="G71" s="2">
        <v>1</v>
      </c>
      <c r="H71" s="2">
        <v>45000</v>
      </c>
      <c r="I71">
        <v>0.17</v>
      </c>
      <c r="J71" s="2">
        <v>37400</v>
      </c>
    </row>
    <row r="72" spans="1:10" x14ac:dyDescent="0.25">
      <c r="A72" t="s">
        <v>133</v>
      </c>
      <c r="B72" s="1">
        <v>45628</v>
      </c>
      <c r="C72" t="s">
        <v>20</v>
      </c>
      <c r="D72" t="s">
        <v>51</v>
      </c>
      <c r="E72" t="s">
        <v>879</v>
      </c>
      <c r="F72" t="s">
        <v>28</v>
      </c>
      <c r="G72" s="2">
        <v>3</v>
      </c>
      <c r="H72" s="2">
        <v>150000</v>
      </c>
      <c r="I72">
        <v>0.08</v>
      </c>
      <c r="J72" s="2">
        <v>414000</v>
      </c>
    </row>
    <row r="73" spans="1:10" x14ac:dyDescent="0.25">
      <c r="A73" t="s">
        <v>135</v>
      </c>
      <c r="B73" s="1">
        <v>45643</v>
      </c>
      <c r="C73" t="s">
        <v>20</v>
      </c>
      <c r="D73" t="s">
        <v>75</v>
      </c>
      <c r="E73" t="s">
        <v>879</v>
      </c>
      <c r="F73" t="s">
        <v>28</v>
      </c>
      <c r="G73" s="2">
        <v>3</v>
      </c>
      <c r="H73" s="2">
        <v>120000</v>
      </c>
      <c r="I73">
        <v>0.05</v>
      </c>
      <c r="J73" s="2">
        <v>342000</v>
      </c>
    </row>
    <row r="74" spans="1:10" x14ac:dyDescent="0.25">
      <c r="A74" t="s">
        <v>136</v>
      </c>
      <c r="B74" s="1">
        <v>45639</v>
      </c>
      <c r="C74" t="s">
        <v>20</v>
      </c>
      <c r="D74" t="s">
        <v>47</v>
      </c>
      <c r="E74" t="s">
        <v>878</v>
      </c>
      <c r="F74" t="s">
        <v>37</v>
      </c>
      <c r="G74" s="2">
        <v>1</v>
      </c>
      <c r="H74" s="2">
        <v>200000</v>
      </c>
      <c r="I74">
        <v>7.0000000000000007E-2</v>
      </c>
      <c r="J74" s="2">
        <v>186000</v>
      </c>
    </row>
    <row r="75" spans="1:10" x14ac:dyDescent="0.25">
      <c r="A75" t="s">
        <v>137</v>
      </c>
      <c r="B75" s="1">
        <v>45627</v>
      </c>
      <c r="C75" t="s">
        <v>20</v>
      </c>
      <c r="D75" t="s">
        <v>75</v>
      </c>
      <c r="E75" t="s">
        <v>879</v>
      </c>
      <c r="F75" t="s">
        <v>28</v>
      </c>
      <c r="G75" s="2">
        <v>2</v>
      </c>
      <c r="H75" s="2">
        <v>120000</v>
      </c>
      <c r="I75">
        <v>0.12</v>
      </c>
      <c r="J75" s="2">
        <v>211200</v>
      </c>
    </row>
    <row r="76" spans="1:10" x14ac:dyDescent="0.25">
      <c r="A76" t="s">
        <v>138</v>
      </c>
      <c r="B76" s="1">
        <v>45654</v>
      </c>
      <c r="C76" t="s">
        <v>20</v>
      </c>
      <c r="D76" t="s">
        <v>30</v>
      </c>
      <c r="E76" t="s">
        <v>880</v>
      </c>
      <c r="F76" t="s">
        <v>54</v>
      </c>
      <c r="G76" s="2">
        <v>5</v>
      </c>
      <c r="H76" s="2">
        <v>60000</v>
      </c>
      <c r="I76">
        <v>0.06</v>
      </c>
      <c r="J76" s="2">
        <v>282000</v>
      </c>
    </row>
    <row r="77" spans="1:10" x14ac:dyDescent="0.25">
      <c r="A77" t="s">
        <v>139</v>
      </c>
      <c r="B77" s="1">
        <v>45634</v>
      </c>
      <c r="C77" t="s">
        <v>20</v>
      </c>
      <c r="D77" t="s">
        <v>47</v>
      </c>
      <c r="E77" t="s">
        <v>878</v>
      </c>
      <c r="F77" t="s">
        <v>54</v>
      </c>
      <c r="G77" s="2">
        <v>3</v>
      </c>
      <c r="H77" s="2">
        <v>200000</v>
      </c>
      <c r="I77">
        <v>0.18</v>
      </c>
      <c r="J77" s="2">
        <v>492000</v>
      </c>
    </row>
    <row r="78" spans="1:10" x14ac:dyDescent="0.25">
      <c r="A78" t="s">
        <v>140</v>
      </c>
      <c r="B78" s="1">
        <v>45634</v>
      </c>
      <c r="C78" t="s">
        <v>20</v>
      </c>
      <c r="D78" t="s">
        <v>51</v>
      </c>
      <c r="E78" t="s">
        <v>879</v>
      </c>
      <c r="F78" t="s">
        <v>37</v>
      </c>
      <c r="G78" s="2">
        <v>1</v>
      </c>
      <c r="H78" s="2">
        <v>150000</v>
      </c>
      <c r="I78">
        <v>0.08</v>
      </c>
      <c r="J78" s="2">
        <v>138000</v>
      </c>
    </row>
    <row r="79" spans="1:10" x14ac:dyDescent="0.25">
      <c r="A79" t="s">
        <v>141</v>
      </c>
      <c r="B79" s="1">
        <v>45313</v>
      </c>
      <c r="C79" t="s">
        <v>142</v>
      </c>
      <c r="D79" t="s">
        <v>40</v>
      </c>
      <c r="E79" t="s">
        <v>880</v>
      </c>
      <c r="F79" t="s">
        <v>54</v>
      </c>
      <c r="G79" s="2">
        <v>1</v>
      </c>
      <c r="H79" s="2">
        <v>85000</v>
      </c>
      <c r="I79">
        <v>0.05</v>
      </c>
      <c r="J79" s="2">
        <v>80800</v>
      </c>
    </row>
    <row r="80" spans="1:10" x14ac:dyDescent="0.25">
      <c r="A80" t="s">
        <v>145</v>
      </c>
      <c r="B80" s="1">
        <v>45304</v>
      </c>
      <c r="C80" t="s">
        <v>142</v>
      </c>
      <c r="D80" t="s">
        <v>47</v>
      </c>
      <c r="E80" t="s">
        <v>879</v>
      </c>
      <c r="F80" t="s">
        <v>37</v>
      </c>
      <c r="G80" s="2">
        <v>4</v>
      </c>
      <c r="H80" s="2">
        <v>200000</v>
      </c>
      <c r="I80">
        <v>0.05</v>
      </c>
      <c r="J80" s="2">
        <v>760000</v>
      </c>
    </row>
    <row r="81" spans="1:10" x14ac:dyDescent="0.25">
      <c r="A81" t="s">
        <v>146</v>
      </c>
      <c r="B81" s="1">
        <v>45299</v>
      </c>
      <c r="C81" t="s">
        <v>142</v>
      </c>
      <c r="D81" t="s">
        <v>47</v>
      </c>
      <c r="E81" t="s">
        <v>877</v>
      </c>
      <c r="F81" t="s">
        <v>54</v>
      </c>
      <c r="G81" s="2">
        <v>1</v>
      </c>
      <c r="H81" s="2">
        <v>200000</v>
      </c>
      <c r="I81">
        <v>0.03</v>
      </c>
      <c r="J81" s="2">
        <v>194000</v>
      </c>
    </row>
    <row r="82" spans="1:10" x14ac:dyDescent="0.25">
      <c r="A82" t="s">
        <v>147</v>
      </c>
      <c r="B82" s="1">
        <v>45295</v>
      </c>
      <c r="C82" t="s">
        <v>142</v>
      </c>
      <c r="D82" t="s">
        <v>35</v>
      </c>
      <c r="E82" t="s">
        <v>879</v>
      </c>
      <c r="F82" t="s">
        <v>37</v>
      </c>
      <c r="G82" s="2">
        <v>3</v>
      </c>
      <c r="H82" s="2">
        <v>45000</v>
      </c>
      <c r="I82">
        <v>0.04</v>
      </c>
      <c r="J82" s="2">
        <v>129600</v>
      </c>
    </row>
    <row r="83" spans="1:10" x14ac:dyDescent="0.25">
      <c r="A83" t="s">
        <v>148</v>
      </c>
      <c r="B83" s="1">
        <v>45306</v>
      </c>
      <c r="C83" t="s">
        <v>142</v>
      </c>
      <c r="D83" t="s">
        <v>35</v>
      </c>
      <c r="E83" t="s">
        <v>877</v>
      </c>
      <c r="F83" t="s">
        <v>37</v>
      </c>
      <c r="G83" s="2">
        <v>2</v>
      </c>
      <c r="H83" s="2">
        <v>45000</v>
      </c>
      <c r="I83">
        <v>0.05</v>
      </c>
      <c r="J83" s="2">
        <v>85500</v>
      </c>
    </row>
    <row r="84" spans="1:10" x14ac:dyDescent="0.25">
      <c r="A84" t="s">
        <v>149</v>
      </c>
      <c r="B84" s="1">
        <v>45292</v>
      </c>
      <c r="C84" t="s">
        <v>142</v>
      </c>
      <c r="D84" t="s">
        <v>40</v>
      </c>
      <c r="E84" t="s">
        <v>879</v>
      </c>
      <c r="F84" t="s">
        <v>33</v>
      </c>
      <c r="G84" s="2">
        <v>4</v>
      </c>
      <c r="H84" s="2">
        <v>85000</v>
      </c>
      <c r="I84">
        <v>0.01</v>
      </c>
      <c r="J84" s="2">
        <v>336600</v>
      </c>
    </row>
    <row r="85" spans="1:10" x14ac:dyDescent="0.25">
      <c r="A85" t="s">
        <v>150</v>
      </c>
      <c r="B85" s="1">
        <v>45316</v>
      </c>
      <c r="C85" t="s">
        <v>142</v>
      </c>
      <c r="D85" t="s">
        <v>60</v>
      </c>
      <c r="E85" t="s">
        <v>879</v>
      </c>
      <c r="F85" t="s">
        <v>28</v>
      </c>
      <c r="G85" s="2">
        <v>4</v>
      </c>
      <c r="H85" s="2">
        <v>95000</v>
      </c>
      <c r="I85">
        <v>0.1</v>
      </c>
      <c r="J85" s="2">
        <v>342000</v>
      </c>
    </row>
    <row r="86" spans="1:10" x14ac:dyDescent="0.25">
      <c r="A86" t="s">
        <v>151</v>
      </c>
      <c r="B86" s="1">
        <v>45329</v>
      </c>
      <c r="C86" t="s">
        <v>142</v>
      </c>
      <c r="D86" t="s">
        <v>40</v>
      </c>
      <c r="E86" t="s">
        <v>877</v>
      </c>
      <c r="F86" t="s">
        <v>37</v>
      </c>
      <c r="G86" s="2">
        <v>3</v>
      </c>
      <c r="H86" s="2">
        <v>85000</v>
      </c>
      <c r="I86">
        <v>0.05</v>
      </c>
      <c r="J86" s="2">
        <v>242200</v>
      </c>
    </row>
    <row r="87" spans="1:10" x14ac:dyDescent="0.25">
      <c r="A87" t="s">
        <v>152</v>
      </c>
      <c r="B87" s="1">
        <v>45342</v>
      </c>
      <c r="C87" t="s">
        <v>142</v>
      </c>
      <c r="D87" t="s">
        <v>60</v>
      </c>
      <c r="E87" t="s">
        <v>877</v>
      </c>
      <c r="F87" t="s">
        <v>54</v>
      </c>
      <c r="G87" s="2">
        <v>4</v>
      </c>
      <c r="H87" s="2">
        <v>95000</v>
      </c>
      <c r="I87">
        <v>0.04</v>
      </c>
      <c r="J87" s="2">
        <v>364800</v>
      </c>
    </row>
    <row r="88" spans="1:10" x14ac:dyDescent="0.25">
      <c r="A88" t="s">
        <v>153</v>
      </c>
      <c r="B88" s="1">
        <v>45327</v>
      </c>
      <c r="C88" t="s">
        <v>142</v>
      </c>
      <c r="D88" t="s">
        <v>51</v>
      </c>
      <c r="E88" t="s">
        <v>880</v>
      </c>
      <c r="F88" t="s">
        <v>28</v>
      </c>
      <c r="G88" s="2">
        <v>5</v>
      </c>
      <c r="H88" s="2">
        <v>150000</v>
      </c>
      <c r="I88">
        <v>0.01</v>
      </c>
      <c r="J88" s="2">
        <v>742500</v>
      </c>
    </row>
    <row r="89" spans="1:10" x14ac:dyDescent="0.25">
      <c r="A89" t="s">
        <v>154</v>
      </c>
      <c r="B89" s="1">
        <v>45323</v>
      </c>
      <c r="C89" t="s">
        <v>142</v>
      </c>
      <c r="D89" t="s">
        <v>24</v>
      </c>
      <c r="E89" t="s">
        <v>877</v>
      </c>
      <c r="F89" t="s">
        <v>37</v>
      </c>
      <c r="G89" s="2">
        <v>5</v>
      </c>
      <c r="H89" s="2">
        <v>75000</v>
      </c>
      <c r="I89">
        <v>7.0000000000000007E-2</v>
      </c>
      <c r="J89" s="2">
        <v>348800</v>
      </c>
    </row>
    <row r="90" spans="1:10" x14ac:dyDescent="0.25">
      <c r="A90" t="s">
        <v>155</v>
      </c>
      <c r="B90" s="1">
        <v>45326</v>
      </c>
      <c r="C90" t="s">
        <v>142</v>
      </c>
      <c r="D90" t="s">
        <v>35</v>
      </c>
      <c r="E90" t="s">
        <v>877</v>
      </c>
      <c r="F90" t="s">
        <v>33</v>
      </c>
      <c r="G90" s="2">
        <v>2</v>
      </c>
      <c r="H90" s="2">
        <v>45000</v>
      </c>
      <c r="I90">
        <v>0.08</v>
      </c>
      <c r="J90" s="2">
        <v>82800</v>
      </c>
    </row>
    <row r="91" spans="1:10" x14ac:dyDescent="0.25">
      <c r="A91" t="s">
        <v>156</v>
      </c>
      <c r="B91" s="1">
        <v>45349</v>
      </c>
      <c r="C91" t="s">
        <v>142</v>
      </c>
      <c r="D91" t="s">
        <v>75</v>
      </c>
      <c r="E91" t="s">
        <v>879</v>
      </c>
      <c r="F91" t="s">
        <v>28</v>
      </c>
      <c r="G91" s="2">
        <v>2</v>
      </c>
      <c r="H91" s="2">
        <v>120000</v>
      </c>
      <c r="I91">
        <v>0.1</v>
      </c>
      <c r="J91" s="2">
        <v>216000</v>
      </c>
    </row>
    <row r="92" spans="1:10" x14ac:dyDescent="0.25">
      <c r="A92" t="s">
        <v>157</v>
      </c>
      <c r="B92" s="1">
        <v>45357</v>
      </c>
      <c r="C92" t="s">
        <v>142</v>
      </c>
      <c r="D92" t="s">
        <v>24</v>
      </c>
      <c r="E92" t="s">
        <v>880</v>
      </c>
      <c r="F92" t="s">
        <v>33</v>
      </c>
      <c r="G92" s="2">
        <v>1</v>
      </c>
      <c r="H92" s="2">
        <v>75000</v>
      </c>
      <c r="I92">
        <v>0.04</v>
      </c>
      <c r="J92" s="2">
        <v>72000</v>
      </c>
    </row>
    <row r="93" spans="1:10" x14ac:dyDescent="0.25">
      <c r="A93" t="s">
        <v>158</v>
      </c>
      <c r="B93" s="1">
        <v>45368</v>
      </c>
      <c r="C93" t="s">
        <v>142</v>
      </c>
      <c r="D93" t="s">
        <v>40</v>
      </c>
      <c r="E93" t="s">
        <v>879</v>
      </c>
      <c r="F93" t="s">
        <v>37</v>
      </c>
      <c r="G93" s="2">
        <v>1</v>
      </c>
      <c r="H93" s="2">
        <v>85000</v>
      </c>
      <c r="I93">
        <v>0.03</v>
      </c>
      <c r="J93" s="2">
        <v>82400</v>
      </c>
    </row>
    <row r="94" spans="1:10" x14ac:dyDescent="0.25">
      <c r="A94" t="s">
        <v>159</v>
      </c>
      <c r="B94" s="1">
        <v>45353</v>
      </c>
      <c r="C94" t="s">
        <v>142</v>
      </c>
      <c r="D94" t="s">
        <v>30</v>
      </c>
      <c r="E94" t="s">
        <v>877</v>
      </c>
      <c r="F94" t="s">
        <v>37</v>
      </c>
      <c r="G94" s="2">
        <v>3</v>
      </c>
      <c r="H94" s="2">
        <v>60000</v>
      </c>
      <c r="I94">
        <v>0.09</v>
      </c>
      <c r="J94" s="2">
        <v>163800</v>
      </c>
    </row>
    <row r="95" spans="1:10" x14ac:dyDescent="0.25">
      <c r="A95" t="s">
        <v>160</v>
      </c>
      <c r="B95" s="1">
        <v>45361</v>
      </c>
      <c r="C95" t="s">
        <v>142</v>
      </c>
      <c r="D95" t="s">
        <v>60</v>
      </c>
      <c r="E95" t="s">
        <v>880</v>
      </c>
      <c r="F95" t="s">
        <v>28</v>
      </c>
      <c r="G95" s="2">
        <v>4</v>
      </c>
      <c r="H95" s="2">
        <v>95000</v>
      </c>
      <c r="I95">
        <v>0.02</v>
      </c>
      <c r="J95" s="2">
        <v>372400</v>
      </c>
    </row>
    <row r="96" spans="1:10" x14ac:dyDescent="0.25">
      <c r="A96" t="s">
        <v>161</v>
      </c>
      <c r="B96" s="1">
        <v>45391</v>
      </c>
      <c r="C96" t="s">
        <v>142</v>
      </c>
      <c r="D96" t="s">
        <v>75</v>
      </c>
      <c r="E96" t="s">
        <v>878</v>
      </c>
      <c r="F96" t="s">
        <v>33</v>
      </c>
      <c r="G96" s="2">
        <v>4</v>
      </c>
      <c r="H96" s="2">
        <v>120000</v>
      </c>
      <c r="I96">
        <v>0.03</v>
      </c>
      <c r="J96" s="2">
        <v>465600</v>
      </c>
    </row>
    <row r="97" spans="1:10" x14ac:dyDescent="0.25">
      <c r="A97" t="s">
        <v>162</v>
      </c>
      <c r="B97" s="1">
        <v>45399</v>
      </c>
      <c r="C97" t="s">
        <v>142</v>
      </c>
      <c r="D97" t="s">
        <v>75</v>
      </c>
      <c r="E97" t="s">
        <v>878</v>
      </c>
      <c r="F97" t="s">
        <v>28</v>
      </c>
      <c r="G97" s="2">
        <v>2</v>
      </c>
      <c r="H97" s="2">
        <v>120000</v>
      </c>
      <c r="I97">
        <v>0.02</v>
      </c>
      <c r="J97" s="2">
        <v>235200</v>
      </c>
    </row>
    <row r="98" spans="1:10" x14ac:dyDescent="0.25">
      <c r="A98" t="s">
        <v>163</v>
      </c>
      <c r="B98" s="1">
        <v>45390</v>
      </c>
      <c r="C98" t="s">
        <v>142</v>
      </c>
      <c r="D98" t="s">
        <v>47</v>
      </c>
      <c r="E98" t="s">
        <v>880</v>
      </c>
      <c r="F98" t="s">
        <v>28</v>
      </c>
      <c r="G98" s="2">
        <v>5</v>
      </c>
      <c r="H98" s="2">
        <v>200000</v>
      </c>
      <c r="I98">
        <v>0.06</v>
      </c>
      <c r="J98" s="2">
        <v>940000</v>
      </c>
    </row>
    <row r="99" spans="1:10" x14ac:dyDescent="0.25">
      <c r="A99" t="s">
        <v>164</v>
      </c>
      <c r="B99" s="1">
        <v>45406</v>
      </c>
      <c r="C99" t="s">
        <v>142</v>
      </c>
      <c r="D99" t="s">
        <v>51</v>
      </c>
      <c r="E99" t="s">
        <v>880</v>
      </c>
      <c r="F99" t="s">
        <v>54</v>
      </c>
      <c r="G99" s="2">
        <v>3</v>
      </c>
      <c r="H99" s="2">
        <v>150000</v>
      </c>
      <c r="I99">
        <v>0.09</v>
      </c>
      <c r="J99" s="2">
        <v>409500</v>
      </c>
    </row>
    <row r="100" spans="1:10" x14ac:dyDescent="0.25">
      <c r="A100" t="s">
        <v>165</v>
      </c>
      <c r="B100" s="1">
        <v>45397</v>
      </c>
      <c r="C100" t="s">
        <v>142</v>
      </c>
      <c r="D100" t="s">
        <v>51</v>
      </c>
      <c r="E100" t="s">
        <v>877</v>
      </c>
      <c r="F100" t="s">
        <v>54</v>
      </c>
      <c r="G100" s="2">
        <v>4</v>
      </c>
      <c r="H100" s="2">
        <v>150000</v>
      </c>
      <c r="I100">
        <v>0.01</v>
      </c>
      <c r="J100" s="2">
        <v>594000</v>
      </c>
    </row>
    <row r="101" spans="1:10" x14ac:dyDescent="0.25">
      <c r="A101" t="s">
        <v>166</v>
      </c>
      <c r="B101" s="1">
        <v>45385</v>
      </c>
      <c r="C101" t="s">
        <v>142</v>
      </c>
      <c r="D101" t="s">
        <v>51</v>
      </c>
      <c r="E101" t="s">
        <v>878</v>
      </c>
      <c r="F101" t="s">
        <v>37</v>
      </c>
      <c r="G101" s="2">
        <v>2</v>
      </c>
      <c r="H101" s="2">
        <v>150000</v>
      </c>
      <c r="I101">
        <v>0.1</v>
      </c>
      <c r="J101" s="2">
        <v>270000</v>
      </c>
    </row>
    <row r="102" spans="1:10" x14ac:dyDescent="0.25">
      <c r="A102" t="s">
        <v>167</v>
      </c>
      <c r="B102" s="1">
        <v>45391</v>
      </c>
      <c r="C102" t="s">
        <v>142</v>
      </c>
      <c r="D102" t="s">
        <v>35</v>
      </c>
      <c r="E102" t="s">
        <v>879</v>
      </c>
      <c r="F102" t="s">
        <v>28</v>
      </c>
      <c r="G102" s="2">
        <v>1</v>
      </c>
      <c r="H102" s="2">
        <v>45000</v>
      </c>
      <c r="I102">
        <v>0.02</v>
      </c>
      <c r="J102" s="2">
        <v>44100</v>
      </c>
    </row>
    <row r="103" spans="1:10" x14ac:dyDescent="0.25">
      <c r="A103" t="s">
        <v>168</v>
      </c>
      <c r="B103" s="1">
        <v>45423</v>
      </c>
      <c r="C103" t="s">
        <v>142</v>
      </c>
      <c r="D103" t="s">
        <v>35</v>
      </c>
      <c r="E103" t="s">
        <v>877</v>
      </c>
      <c r="F103" t="s">
        <v>28</v>
      </c>
      <c r="G103" s="2">
        <v>1</v>
      </c>
      <c r="H103" s="2">
        <v>45000</v>
      </c>
      <c r="I103">
        <v>7.0000000000000007E-2</v>
      </c>
      <c r="J103" s="2">
        <v>41800</v>
      </c>
    </row>
    <row r="104" spans="1:10" x14ac:dyDescent="0.25">
      <c r="A104" t="s">
        <v>169</v>
      </c>
      <c r="B104" s="1">
        <v>45414</v>
      </c>
      <c r="C104" t="s">
        <v>142</v>
      </c>
      <c r="D104" t="s">
        <v>75</v>
      </c>
      <c r="E104" t="s">
        <v>880</v>
      </c>
      <c r="F104" t="s">
        <v>37</v>
      </c>
      <c r="G104" s="2">
        <v>4</v>
      </c>
      <c r="H104" s="2">
        <v>120000</v>
      </c>
      <c r="I104">
        <v>0.04</v>
      </c>
      <c r="J104" s="2">
        <v>460800</v>
      </c>
    </row>
    <row r="105" spans="1:10" x14ac:dyDescent="0.25">
      <c r="A105" t="s">
        <v>170</v>
      </c>
      <c r="B105" s="1">
        <v>45419</v>
      </c>
      <c r="C105" t="s">
        <v>142</v>
      </c>
      <c r="D105" t="s">
        <v>60</v>
      </c>
      <c r="E105" t="s">
        <v>879</v>
      </c>
      <c r="F105" t="s">
        <v>28</v>
      </c>
      <c r="G105" s="2">
        <v>5</v>
      </c>
      <c r="H105" s="2">
        <v>95000</v>
      </c>
      <c r="I105">
        <v>7.0000000000000007E-2</v>
      </c>
      <c r="J105" s="2">
        <v>441700</v>
      </c>
    </row>
    <row r="106" spans="1:10" x14ac:dyDescent="0.25">
      <c r="A106" t="s">
        <v>171</v>
      </c>
      <c r="B106" s="1">
        <v>45430</v>
      </c>
      <c r="C106" t="s">
        <v>142</v>
      </c>
      <c r="D106" t="s">
        <v>51</v>
      </c>
      <c r="E106" t="s">
        <v>878</v>
      </c>
      <c r="F106" t="s">
        <v>28</v>
      </c>
      <c r="G106" s="2">
        <v>3</v>
      </c>
      <c r="H106" s="2">
        <v>150000</v>
      </c>
      <c r="I106">
        <v>0.08</v>
      </c>
      <c r="J106" s="2">
        <v>414000</v>
      </c>
    </row>
    <row r="107" spans="1:10" x14ac:dyDescent="0.25">
      <c r="A107" t="s">
        <v>172</v>
      </c>
      <c r="B107" s="1">
        <v>45432</v>
      </c>
      <c r="C107" t="s">
        <v>142</v>
      </c>
      <c r="D107" t="s">
        <v>24</v>
      </c>
      <c r="E107" t="s">
        <v>879</v>
      </c>
      <c r="F107" t="s">
        <v>28</v>
      </c>
      <c r="G107" s="2">
        <v>4</v>
      </c>
      <c r="H107" s="2">
        <v>75000</v>
      </c>
      <c r="I107">
        <v>0.12</v>
      </c>
      <c r="J107" s="2">
        <v>264000</v>
      </c>
    </row>
    <row r="108" spans="1:10" x14ac:dyDescent="0.25">
      <c r="A108" t="s">
        <v>173</v>
      </c>
      <c r="B108" s="1">
        <v>45431</v>
      </c>
      <c r="C108" t="s">
        <v>142</v>
      </c>
      <c r="D108" t="s">
        <v>75</v>
      </c>
      <c r="E108" t="s">
        <v>879</v>
      </c>
      <c r="F108" t="s">
        <v>28</v>
      </c>
      <c r="G108" s="2">
        <v>1</v>
      </c>
      <c r="H108" s="2">
        <v>120000</v>
      </c>
      <c r="I108">
        <v>0</v>
      </c>
      <c r="J108" s="2">
        <v>120000</v>
      </c>
    </row>
    <row r="109" spans="1:10" x14ac:dyDescent="0.25">
      <c r="A109" t="s">
        <v>174</v>
      </c>
      <c r="B109" s="1">
        <v>45461</v>
      </c>
      <c r="C109" t="s">
        <v>142</v>
      </c>
      <c r="D109" t="s">
        <v>30</v>
      </c>
      <c r="E109" t="s">
        <v>879</v>
      </c>
      <c r="F109" t="s">
        <v>37</v>
      </c>
      <c r="G109" s="2">
        <v>4</v>
      </c>
      <c r="H109" s="2">
        <v>60000</v>
      </c>
      <c r="I109">
        <v>0.01</v>
      </c>
      <c r="J109" s="2">
        <v>237600</v>
      </c>
    </row>
    <row r="110" spans="1:10" x14ac:dyDescent="0.25">
      <c r="A110" t="s">
        <v>175</v>
      </c>
      <c r="B110" s="1">
        <v>45466</v>
      </c>
      <c r="C110" t="s">
        <v>142</v>
      </c>
      <c r="D110" t="s">
        <v>47</v>
      </c>
      <c r="E110" t="s">
        <v>877</v>
      </c>
      <c r="F110" t="s">
        <v>37</v>
      </c>
      <c r="G110" s="2">
        <v>2</v>
      </c>
      <c r="H110" s="2">
        <v>200000</v>
      </c>
      <c r="I110">
        <v>7.0000000000000007E-2</v>
      </c>
      <c r="J110" s="2">
        <v>372000</v>
      </c>
    </row>
    <row r="111" spans="1:10" x14ac:dyDescent="0.25">
      <c r="A111" t="s">
        <v>176</v>
      </c>
      <c r="B111" s="1">
        <v>45464</v>
      </c>
      <c r="C111" t="s">
        <v>142</v>
      </c>
      <c r="D111" t="s">
        <v>51</v>
      </c>
      <c r="E111" t="s">
        <v>878</v>
      </c>
      <c r="F111" t="s">
        <v>54</v>
      </c>
      <c r="G111" s="2">
        <v>3</v>
      </c>
      <c r="H111" s="2">
        <v>150000</v>
      </c>
      <c r="I111">
        <v>0.05</v>
      </c>
      <c r="J111" s="2">
        <v>427500</v>
      </c>
    </row>
    <row r="112" spans="1:10" x14ac:dyDescent="0.25">
      <c r="A112" t="s">
        <v>177</v>
      </c>
      <c r="B112" s="1">
        <v>45457</v>
      </c>
      <c r="C112" t="s">
        <v>142</v>
      </c>
      <c r="D112" t="s">
        <v>30</v>
      </c>
      <c r="E112" t="s">
        <v>880</v>
      </c>
      <c r="F112" t="s">
        <v>37</v>
      </c>
      <c r="G112" s="2">
        <v>1</v>
      </c>
      <c r="H112" s="2">
        <v>60000</v>
      </c>
      <c r="I112">
        <v>0.06</v>
      </c>
      <c r="J112" s="2">
        <v>56400</v>
      </c>
    </row>
    <row r="113" spans="1:10" x14ac:dyDescent="0.25">
      <c r="A113" t="s">
        <v>178</v>
      </c>
      <c r="B113" s="1">
        <v>45480</v>
      </c>
      <c r="C113" t="s">
        <v>142</v>
      </c>
      <c r="D113" t="s">
        <v>24</v>
      </c>
      <c r="E113" t="s">
        <v>879</v>
      </c>
      <c r="F113" t="s">
        <v>28</v>
      </c>
      <c r="G113" s="2">
        <v>3</v>
      </c>
      <c r="H113" s="2">
        <v>75000</v>
      </c>
      <c r="I113">
        <v>0.01</v>
      </c>
      <c r="J113" s="2">
        <v>222800</v>
      </c>
    </row>
    <row r="114" spans="1:10" x14ac:dyDescent="0.25">
      <c r="A114" t="s">
        <v>179</v>
      </c>
      <c r="B114" s="1">
        <v>45474</v>
      </c>
      <c r="C114" t="s">
        <v>142</v>
      </c>
      <c r="D114" t="s">
        <v>40</v>
      </c>
      <c r="E114" t="s">
        <v>879</v>
      </c>
      <c r="F114" t="s">
        <v>33</v>
      </c>
      <c r="G114" s="2">
        <v>3</v>
      </c>
      <c r="H114" s="2">
        <v>85000</v>
      </c>
      <c r="I114">
        <v>0.08</v>
      </c>
      <c r="J114" s="2">
        <v>234600</v>
      </c>
    </row>
    <row r="115" spans="1:10" x14ac:dyDescent="0.25">
      <c r="A115" t="s">
        <v>180</v>
      </c>
      <c r="B115" s="1">
        <v>45477</v>
      </c>
      <c r="C115" t="s">
        <v>142</v>
      </c>
      <c r="D115" t="s">
        <v>47</v>
      </c>
      <c r="E115" t="s">
        <v>879</v>
      </c>
      <c r="F115" t="s">
        <v>37</v>
      </c>
      <c r="G115" s="2">
        <v>5</v>
      </c>
      <c r="H115" s="2">
        <v>200000</v>
      </c>
      <c r="I115">
        <v>0.03</v>
      </c>
      <c r="J115" s="2">
        <v>970000</v>
      </c>
    </row>
    <row r="116" spans="1:10" x14ac:dyDescent="0.25">
      <c r="A116" t="s">
        <v>181</v>
      </c>
      <c r="B116" s="1">
        <v>45500</v>
      </c>
      <c r="C116" t="s">
        <v>142</v>
      </c>
      <c r="D116" t="s">
        <v>24</v>
      </c>
      <c r="E116" t="s">
        <v>878</v>
      </c>
      <c r="F116" t="s">
        <v>37</v>
      </c>
      <c r="G116" s="2">
        <v>2</v>
      </c>
      <c r="H116" s="2">
        <v>75000</v>
      </c>
      <c r="I116">
        <v>0.02</v>
      </c>
      <c r="J116" s="2">
        <v>147000</v>
      </c>
    </row>
    <row r="117" spans="1:10" x14ac:dyDescent="0.25">
      <c r="A117" t="s">
        <v>182</v>
      </c>
      <c r="B117" s="1">
        <v>45482</v>
      </c>
      <c r="C117" t="s">
        <v>142</v>
      </c>
      <c r="D117" t="s">
        <v>51</v>
      </c>
      <c r="E117" t="s">
        <v>878</v>
      </c>
      <c r="F117" t="s">
        <v>28</v>
      </c>
      <c r="G117" s="2">
        <v>5</v>
      </c>
      <c r="H117" s="2">
        <v>150000</v>
      </c>
      <c r="I117">
        <v>0.06</v>
      </c>
      <c r="J117" s="2">
        <v>705000</v>
      </c>
    </row>
    <row r="118" spans="1:10" x14ac:dyDescent="0.25">
      <c r="A118" t="s">
        <v>183</v>
      </c>
      <c r="B118" s="1">
        <v>45482</v>
      </c>
      <c r="C118" t="s">
        <v>142</v>
      </c>
      <c r="D118" t="s">
        <v>24</v>
      </c>
      <c r="E118" t="s">
        <v>879</v>
      </c>
      <c r="F118" t="s">
        <v>33</v>
      </c>
      <c r="G118" s="2">
        <v>5</v>
      </c>
      <c r="H118" s="2">
        <v>75000</v>
      </c>
      <c r="I118">
        <v>7.0000000000000007E-2</v>
      </c>
      <c r="J118" s="2">
        <v>348800</v>
      </c>
    </row>
    <row r="119" spans="1:10" x14ac:dyDescent="0.25">
      <c r="A119" t="s">
        <v>184</v>
      </c>
      <c r="B119" s="1">
        <v>45485</v>
      </c>
      <c r="C119" t="s">
        <v>142</v>
      </c>
      <c r="D119" t="s">
        <v>24</v>
      </c>
      <c r="E119" t="s">
        <v>877</v>
      </c>
      <c r="F119" t="s">
        <v>33</v>
      </c>
      <c r="G119" s="2">
        <v>1</v>
      </c>
      <c r="H119" s="2">
        <v>75000</v>
      </c>
      <c r="I119">
        <v>0.1</v>
      </c>
      <c r="J119" s="2">
        <v>67500</v>
      </c>
    </row>
    <row r="120" spans="1:10" x14ac:dyDescent="0.25">
      <c r="A120" t="s">
        <v>185</v>
      </c>
      <c r="B120" s="1">
        <v>45489</v>
      </c>
      <c r="C120" t="s">
        <v>142</v>
      </c>
      <c r="D120" t="s">
        <v>35</v>
      </c>
      <c r="E120" t="s">
        <v>879</v>
      </c>
      <c r="F120" t="s">
        <v>28</v>
      </c>
      <c r="G120" s="2">
        <v>4</v>
      </c>
      <c r="H120" s="2">
        <v>45000</v>
      </c>
      <c r="I120">
        <v>0.08</v>
      </c>
      <c r="J120" s="2">
        <v>165600</v>
      </c>
    </row>
    <row r="121" spans="1:10" x14ac:dyDescent="0.25">
      <c r="A121" t="s">
        <v>186</v>
      </c>
      <c r="B121" s="1">
        <v>45499</v>
      </c>
      <c r="C121" t="s">
        <v>142</v>
      </c>
      <c r="D121" t="s">
        <v>51</v>
      </c>
      <c r="E121" t="s">
        <v>877</v>
      </c>
      <c r="F121" t="s">
        <v>37</v>
      </c>
      <c r="G121" s="2">
        <v>2</v>
      </c>
      <c r="H121" s="2">
        <v>150000</v>
      </c>
      <c r="I121">
        <v>0.05</v>
      </c>
      <c r="J121" s="2">
        <v>285000</v>
      </c>
    </row>
    <row r="122" spans="1:10" x14ac:dyDescent="0.25">
      <c r="A122" t="s">
        <v>187</v>
      </c>
      <c r="B122" s="1">
        <v>45522</v>
      </c>
      <c r="C122" t="s">
        <v>142</v>
      </c>
      <c r="D122" t="s">
        <v>30</v>
      </c>
      <c r="E122" t="s">
        <v>877</v>
      </c>
      <c r="F122" t="s">
        <v>54</v>
      </c>
      <c r="G122" s="2">
        <v>3</v>
      </c>
      <c r="H122" s="2">
        <v>60000</v>
      </c>
      <c r="I122">
        <v>0.09</v>
      </c>
      <c r="J122" s="2">
        <v>163800</v>
      </c>
    </row>
    <row r="123" spans="1:10" x14ac:dyDescent="0.25">
      <c r="A123" t="s">
        <v>188</v>
      </c>
      <c r="B123" s="1">
        <v>45505</v>
      </c>
      <c r="C123" t="s">
        <v>142</v>
      </c>
      <c r="D123" t="s">
        <v>51</v>
      </c>
      <c r="E123" t="s">
        <v>880</v>
      </c>
      <c r="F123" t="s">
        <v>28</v>
      </c>
      <c r="G123" s="2">
        <v>2</v>
      </c>
      <c r="H123" s="2">
        <v>150000</v>
      </c>
      <c r="I123">
        <v>0.09</v>
      </c>
      <c r="J123" s="2">
        <v>273000</v>
      </c>
    </row>
    <row r="124" spans="1:10" x14ac:dyDescent="0.25">
      <c r="A124" t="s">
        <v>189</v>
      </c>
      <c r="B124" s="1">
        <v>45505</v>
      </c>
      <c r="C124" t="s">
        <v>142</v>
      </c>
      <c r="D124" t="s">
        <v>60</v>
      </c>
      <c r="E124" t="s">
        <v>878</v>
      </c>
      <c r="F124" t="s">
        <v>54</v>
      </c>
      <c r="G124" s="2">
        <v>4</v>
      </c>
      <c r="H124" s="2">
        <v>95000</v>
      </c>
      <c r="I124">
        <v>0.08</v>
      </c>
      <c r="J124" s="2">
        <v>349600</v>
      </c>
    </row>
    <row r="125" spans="1:10" x14ac:dyDescent="0.25">
      <c r="A125" t="s">
        <v>190</v>
      </c>
      <c r="B125" s="1">
        <v>45518</v>
      </c>
      <c r="C125" t="s">
        <v>142</v>
      </c>
      <c r="D125" t="s">
        <v>35</v>
      </c>
      <c r="E125" t="s">
        <v>878</v>
      </c>
      <c r="F125" t="s">
        <v>28</v>
      </c>
      <c r="G125" s="2">
        <v>2</v>
      </c>
      <c r="H125" s="2">
        <v>45000</v>
      </c>
      <c r="I125">
        <v>0.12</v>
      </c>
      <c r="J125" s="2">
        <v>79200</v>
      </c>
    </row>
    <row r="126" spans="1:10" x14ac:dyDescent="0.25">
      <c r="A126" t="s">
        <v>191</v>
      </c>
      <c r="B126" s="1">
        <v>45505</v>
      </c>
      <c r="C126" t="s">
        <v>142</v>
      </c>
      <c r="D126" t="s">
        <v>60</v>
      </c>
      <c r="E126" t="s">
        <v>877</v>
      </c>
      <c r="F126" t="s">
        <v>37</v>
      </c>
      <c r="G126" s="2">
        <v>3</v>
      </c>
      <c r="H126" s="2">
        <v>95000</v>
      </c>
      <c r="I126">
        <v>0.1</v>
      </c>
      <c r="J126" s="2">
        <v>256500</v>
      </c>
    </row>
    <row r="127" spans="1:10" x14ac:dyDescent="0.25">
      <c r="A127" t="s">
        <v>192</v>
      </c>
      <c r="B127" s="1">
        <v>45523</v>
      </c>
      <c r="C127" t="s">
        <v>142</v>
      </c>
      <c r="D127" t="s">
        <v>51</v>
      </c>
      <c r="E127" t="s">
        <v>880</v>
      </c>
      <c r="F127" t="s">
        <v>37</v>
      </c>
      <c r="G127" s="2">
        <v>1</v>
      </c>
      <c r="H127" s="2">
        <v>150000</v>
      </c>
      <c r="I127">
        <v>0.08</v>
      </c>
      <c r="J127" s="2">
        <v>138000</v>
      </c>
    </row>
    <row r="128" spans="1:10" x14ac:dyDescent="0.25">
      <c r="A128" t="s">
        <v>193</v>
      </c>
      <c r="B128" s="1">
        <v>45516</v>
      </c>
      <c r="C128" t="s">
        <v>142</v>
      </c>
      <c r="D128" t="s">
        <v>60</v>
      </c>
      <c r="E128" t="s">
        <v>878</v>
      </c>
      <c r="F128" t="s">
        <v>54</v>
      </c>
      <c r="G128" s="2">
        <v>2</v>
      </c>
      <c r="H128" s="2">
        <v>95000</v>
      </c>
      <c r="I128">
        <v>0.03</v>
      </c>
      <c r="J128" s="2">
        <v>184300</v>
      </c>
    </row>
    <row r="129" spans="1:10" x14ac:dyDescent="0.25">
      <c r="A129" t="s">
        <v>194</v>
      </c>
      <c r="B129" s="1">
        <v>45553</v>
      </c>
      <c r="C129" t="s">
        <v>142</v>
      </c>
      <c r="D129" t="s">
        <v>47</v>
      </c>
      <c r="E129" t="s">
        <v>878</v>
      </c>
      <c r="F129" t="s">
        <v>33</v>
      </c>
      <c r="G129" s="2">
        <v>5</v>
      </c>
      <c r="H129" s="2">
        <v>200000</v>
      </c>
      <c r="I129">
        <v>0.1</v>
      </c>
      <c r="J129" s="2">
        <v>900000</v>
      </c>
    </row>
    <row r="130" spans="1:10" x14ac:dyDescent="0.25">
      <c r="A130" t="s">
        <v>195</v>
      </c>
      <c r="B130" s="1">
        <v>45551</v>
      </c>
      <c r="C130" t="s">
        <v>142</v>
      </c>
      <c r="D130" t="s">
        <v>75</v>
      </c>
      <c r="E130" t="s">
        <v>877</v>
      </c>
      <c r="F130" t="s">
        <v>33</v>
      </c>
      <c r="G130" s="2">
        <v>2</v>
      </c>
      <c r="H130" s="2">
        <v>120000</v>
      </c>
      <c r="I130">
        <v>0.06</v>
      </c>
      <c r="J130" s="2">
        <v>225600</v>
      </c>
    </row>
    <row r="131" spans="1:10" x14ac:dyDescent="0.25">
      <c r="A131" t="s">
        <v>196</v>
      </c>
      <c r="B131" s="1">
        <v>45545</v>
      </c>
      <c r="C131" t="s">
        <v>142</v>
      </c>
      <c r="D131" t="s">
        <v>24</v>
      </c>
      <c r="E131" t="s">
        <v>880</v>
      </c>
      <c r="F131" t="s">
        <v>54</v>
      </c>
      <c r="G131" s="2">
        <v>3</v>
      </c>
      <c r="H131" s="2">
        <v>75000</v>
      </c>
      <c r="I131">
        <v>0.11</v>
      </c>
      <c r="J131" s="2">
        <v>200200</v>
      </c>
    </row>
    <row r="132" spans="1:10" x14ac:dyDescent="0.25">
      <c r="A132" t="s">
        <v>197</v>
      </c>
      <c r="B132" s="1">
        <v>45543</v>
      </c>
      <c r="C132" t="s">
        <v>142</v>
      </c>
      <c r="D132" t="s">
        <v>30</v>
      </c>
      <c r="E132" t="s">
        <v>878</v>
      </c>
      <c r="F132" t="s">
        <v>54</v>
      </c>
      <c r="G132" s="2">
        <v>1</v>
      </c>
      <c r="H132" s="2">
        <v>60000</v>
      </c>
      <c r="I132">
        <v>0.08</v>
      </c>
      <c r="J132" s="2">
        <v>55200</v>
      </c>
    </row>
    <row r="133" spans="1:10" x14ac:dyDescent="0.25">
      <c r="A133" t="s">
        <v>198</v>
      </c>
      <c r="B133" s="1">
        <v>45545</v>
      </c>
      <c r="C133" t="s">
        <v>142</v>
      </c>
      <c r="D133" t="s">
        <v>30</v>
      </c>
      <c r="E133" t="s">
        <v>879</v>
      </c>
      <c r="F133" t="s">
        <v>37</v>
      </c>
      <c r="G133" s="2">
        <v>5</v>
      </c>
      <c r="H133" s="2">
        <v>60000</v>
      </c>
      <c r="I133">
        <v>0.1</v>
      </c>
      <c r="J133" s="2">
        <v>270000</v>
      </c>
    </row>
    <row r="134" spans="1:10" x14ac:dyDescent="0.25">
      <c r="A134" t="s">
        <v>199</v>
      </c>
      <c r="B134" s="1">
        <v>45574</v>
      </c>
      <c r="C134" t="s">
        <v>142</v>
      </c>
      <c r="D134" t="s">
        <v>24</v>
      </c>
      <c r="E134" t="s">
        <v>879</v>
      </c>
      <c r="F134" t="s">
        <v>28</v>
      </c>
      <c r="G134" s="2">
        <v>3</v>
      </c>
      <c r="H134" s="2">
        <v>75000</v>
      </c>
      <c r="I134">
        <v>0.05</v>
      </c>
      <c r="J134" s="2">
        <v>213800</v>
      </c>
    </row>
    <row r="135" spans="1:10" x14ac:dyDescent="0.25">
      <c r="A135" t="s">
        <v>200</v>
      </c>
      <c r="B135" s="1">
        <v>45580</v>
      </c>
      <c r="C135" t="s">
        <v>142</v>
      </c>
      <c r="D135" t="s">
        <v>51</v>
      </c>
      <c r="E135" t="s">
        <v>879</v>
      </c>
      <c r="F135" t="s">
        <v>33</v>
      </c>
      <c r="G135" s="2">
        <v>2</v>
      </c>
      <c r="H135" s="2">
        <v>150000</v>
      </c>
      <c r="I135">
        <v>7.0000000000000007E-2</v>
      </c>
      <c r="J135" s="2">
        <v>279000</v>
      </c>
    </row>
    <row r="136" spans="1:10" x14ac:dyDescent="0.25">
      <c r="A136" t="s">
        <v>201</v>
      </c>
      <c r="B136" s="1">
        <v>45601</v>
      </c>
      <c r="C136" t="s">
        <v>142</v>
      </c>
      <c r="D136" t="s">
        <v>47</v>
      </c>
      <c r="E136" t="s">
        <v>877</v>
      </c>
      <c r="F136" t="s">
        <v>33</v>
      </c>
      <c r="G136" s="2">
        <v>2</v>
      </c>
      <c r="H136" s="2">
        <v>200000</v>
      </c>
      <c r="I136">
        <v>0.04</v>
      </c>
      <c r="J136" s="2">
        <v>384000</v>
      </c>
    </row>
    <row r="137" spans="1:10" x14ac:dyDescent="0.25">
      <c r="A137" t="s">
        <v>202</v>
      </c>
      <c r="B137" s="1">
        <v>45600</v>
      </c>
      <c r="C137" t="s">
        <v>142</v>
      </c>
      <c r="D137" t="s">
        <v>30</v>
      </c>
      <c r="E137" t="s">
        <v>880</v>
      </c>
      <c r="F137" t="s">
        <v>37</v>
      </c>
      <c r="G137" s="2">
        <v>4</v>
      </c>
      <c r="H137" s="2">
        <v>60000</v>
      </c>
      <c r="I137">
        <v>0.03</v>
      </c>
      <c r="J137" s="2">
        <v>232800</v>
      </c>
    </row>
    <row r="138" spans="1:10" x14ac:dyDescent="0.25">
      <c r="A138" t="s">
        <v>203</v>
      </c>
      <c r="B138" s="1">
        <v>45603</v>
      </c>
      <c r="C138" t="s">
        <v>142</v>
      </c>
      <c r="D138" t="s">
        <v>24</v>
      </c>
      <c r="E138" t="s">
        <v>877</v>
      </c>
      <c r="F138" t="s">
        <v>54</v>
      </c>
      <c r="G138" s="2">
        <v>5</v>
      </c>
      <c r="H138" s="2">
        <v>75000</v>
      </c>
      <c r="I138">
        <v>0.04</v>
      </c>
      <c r="J138" s="2">
        <v>360000</v>
      </c>
    </row>
    <row r="139" spans="1:10" x14ac:dyDescent="0.25">
      <c r="A139" t="s">
        <v>204</v>
      </c>
      <c r="B139" s="1">
        <v>45609</v>
      </c>
      <c r="C139" t="s">
        <v>142</v>
      </c>
      <c r="D139" t="s">
        <v>35</v>
      </c>
      <c r="E139" t="s">
        <v>878</v>
      </c>
      <c r="F139" t="s">
        <v>28</v>
      </c>
      <c r="G139" s="2">
        <v>2</v>
      </c>
      <c r="H139" s="2">
        <v>45000</v>
      </c>
      <c r="I139">
        <v>0.1</v>
      </c>
      <c r="J139" s="2">
        <v>81000</v>
      </c>
    </row>
    <row r="140" spans="1:10" x14ac:dyDescent="0.25">
      <c r="A140" t="s">
        <v>205</v>
      </c>
      <c r="B140" s="1">
        <v>45632</v>
      </c>
      <c r="C140" t="s">
        <v>142</v>
      </c>
      <c r="D140" t="s">
        <v>24</v>
      </c>
      <c r="E140" t="s">
        <v>877</v>
      </c>
      <c r="F140" t="s">
        <v>54</v>
      </c>
      <c r="G140" s="2">
        <v>2</v>
      </c>
      <c r="H140" s="2">
        <v>75000</v>
      </c>
      <c r="I140">
        <v>0.04</v>
      </c>
      <c r="J140" s="2">
        <v>144000</v>
      </c>
    </row>
    <row r="141" spans="1:10" x14ac:dyDescent="0.25">
      <c r="A141" t="s">
        <v>206</v>
      </c>
      <c r="B141" s="1">
        <v>45650</v>
      </c>
      <c r="C141" t="s">
        <v>142</v>
      </c>
      <c r="D141" t="s">
        <v>40</v>
      </c>
      <c r="E141" t="s">
        <v>879</v>
      </c>
      <c r="F141" t="s">
        <v>33</v>
      </c>
      <c r="G141" s="2">
        <v>4</v>
      </c>
      <c r="H141" s="2">
        <v>85000</v>
      </c>
      <c r="I141">
        <v>0.05</v>
      </c>
      <c r="J141" s="2">
        <v>323000</v>
      </c>
    </row>
    <row r="142" spans="1:10" x14ac:dyDescent="0.25">
      <c r="A142" t="s">
        <v>207</v>
      </c>
      <c r="B142" s="1">
        <v>45632</v>
      </c>
      <c r="C142" t="s">
        <v>142</v>
      </c>
      <c r="D142" t="s">
        <v>47</v>
      </c>
      <c r="E142" t="s">
        <v>880</v>
      </c>
      <c r="F142" t="s">
        <v>33</v>
      </c>
      <c r="G142" s="2">
        <v>5</v>
      </c>
      <c r="H142" s="2">
        <v>200000</v>
      </c>
      <c r="I142">
        <v>0</v>
      </c>
      <c r="J142" s="2">
        <v>1000000</v>
      </c>
    </row>
    <row r="143" spans="1:10" x14ac:dyDescent="0.25">
      <c r="A143" t="s">
        <v>208</v>
      </c>
      <c r="B143" s="1">
        <v>45632</v>
      </c>
      <c r="C143" t="s">
        <v>142</v>
      </c>
      <c r="D143" t="s">
        <v>47</v>
      </c>
      <c r="E143" t="s">
        <v>878</v>
      </c>
      <c r="F143" t="s">
        <v>33</v>
      </c>
      <c r="G143" s="2">
        <v>3</v>
      </c>
      <c r="H143" s="2">
        <v>200000</v>
      </c>
      <c r="I143">
        <v>0.09</v>
      </c>
      <c r="J143" s="2">
        <v>546000</v>
      </c>
    </row>
    <row r="144" spans="1:10" x14ac:dyDescent="0.25">
      <c r="A144" t="s">
        <v>209</v>
      </c>
      <c r="B144" s="1">
        <v>45641</v>
      </c>
      <c r="C144" t="s">
        <v>142</v>
      </c>
      <c r="D144" t="s">
        <v>47</v>
      </c>
      <c r="E144" t="s">
        <v>880</v>
      </c>
      <c r="F144" t="s">
        <v>28</v>
      </c>
      <c r="G144" s="2">
        <v>2</v>
      </c>
      <c r="H144" s="2">
        <v>200000</v>
      </c>
      <c r="I144">
        <v>0.11</v>
      </c>
      <c r="J144" s="2">
        <v>356000</v>
      </c>
    </row>
    <row r="145" spans="1:10" x14ac:dyDescent="0.25">
      <c r="A145" t="s">
        <v>210</v>
      </c>
      <c r="B145" s="1">
        <v>45646</v>
      </c>
      <c r="C145" t="s">
        <v>142</v>
      </c>
      <c r="D145" t="s">
        <v>60</v>
      </c>
      <c r="E145" t="s">
        <v>879</v>
      </c>
      <c r="F145" t="s">
        <v>33</v>
      </c>
      <c r="G145" s="2">
        <v>5</v>
      </c>
      <c r="H145" s="2">
        <v>95000</v>
      </c>
      <c r="I145">
        <v>0.06</v>
      </c>
      <c r="J145" s="2">
        <v>446500</v>
      </c>
    </row>
    <row r="146" spans="1:10" x14ac:dyDescent="0.25">
      <c r="A146" t="s">
        <v>211</v>
      </c>
      <c r="B146" s="1">
        <v>45313</v>
      </c>
      <c r="C146" t="s">
        <v>212</v>
      </c>
      <c r="D146" t="s">
        <v>60</v>
      </c>
      <c r="E146" t="s">
        <v>880</v>
      </c>
      <c r="F146" t="s">
        <v>28</v>
      </c>
      <c r="G146" s="2">
        <v>1</v>
      </c>
      <c r="H146" s="2">
        <v>95000</v>
      </c>
      <c r="I146">
        <v>0.12</v>
      </c>
      <c r="J146" s="2">
        <v>83600</v>
      </c>
    </row>
    <row r="147" spans="1:10" x14ac:dyDescent="0.25">
      <c r="A147" t="s">
        <v>214</v>
      </c>
      <c r="B147" s="1">
        <v>45304</v>
      </c>
      <c r="C147" t="s">
        <v>212</v>
      </c>
      <c r="D147" t="s">
        <v>40</v>
      </c>
      <c r="E147" t="s">
        <v>880</v>
      </c>
      <c r="F147" t="s">
        <v>37</v>
      </c>
      <c r="G147" s="2">
        <v>3</v>
      </c>
      <c r="H147" s="2">
        <v>85000</v>
      </c>
      <c r="I147">
        <v>0.12</v>
      </c>
      <c r="J147" s="2">
        <v>224400</v>
      </c>
    </row>
    <row r="148" spans="1:10" x14ac:dyDescent="0.25">
      <c r="A148" t="s">
        <v>215</v>
      </c>
      <c r="B148" s="1">
        <v>45317</v>
      </c>
      <c r="C148" t="s">
        <v>212</v>
      </c>
      <c r="D148" t="s">
        <v>51</v>
      </c>
      <c r="E148" t="s">
        <v>877</v>
      </c>
      <c r="F148" t="s">
        <v>33</v>
      </c>
      <c r="G148" s="2">
        <v>2</v>
      </c>
      <c r="H148" s="2">
        <v>150000</v>
      </c>
      <c r="I148">
        <v>7.0000000000000007E-2</v>
      </c>
      <c r="J148" s="2">
        <v>279000</v>
      </c>
    </row>
    <row r="149" spans="1:10" x14ac:dyDescent="0.25">
      <c r="A149" t="s">
        <v>216</v>
      </c>
      <c r="B149" s="1">
        <v>45315</v>
      </c>
      <c r="C149" t="s">
        <v>212</v>
      </c>
      <c r="D149" t="s">
        <v>51</v>
      </c>
      <c r="E149" t="s">
        <v>878</v>
      </c>
      <c r="F149" t="s">
        <v>28</v>
      </c>
      <c r="G149" s="2">
        <v>1</v>
      </c>
      <c r="H149" s="2">
        <v>150000</v>
      </c>
      <c r="I149">
        <v>7.0000000000000007E-2</v>
      </c>
      <c r="J149" s="2">
        <v>139500</v>
      </c>
    </row>
    <row r="150" spans="1:10" x14ac:dyDescent="0.25">
      <c r="A150" t="s">
        <v>217</v>
      </c>
      <c r="B150" s="1">
        <v>45314</v>
      </c>
      <c r="C150" t="s">
        <v>212</v>
      </c>
      <c r="D150" t="s">
        <v>35</v>
      </c>
      <c r="E150" t="s">
        <v>877</v>
      </c>
      <c r="F150" t="s">
        <v>54</v>
      </c>
      <c r="G150" s="2">
        <v>3</v>
      </c>
      <c r="H150" s="2">
        <v>45000</v>
      </c>
      <c r="I150">
        <v>0.05</v>
      </c>
      <c r="J150" s="2">
        <v>128200</v>
      </c>
    </row>
    <row r="151" spans="1:10" x14ac:dyDescent="0.25">
      <c r="A151" t="s">
        <v>218</v>
      </c>
      <c r="B151" s="1">
        <v>45342</v>
      </c>
      <c r="C151" t="s">
        <v>212</v>
      </c>
      <c r="D151" t="s">
        <v>35</v>
      </c>
      <c r="E151" t="s">
        <v>878</v>
      </c>
      <c r="F151" t="s">
        <v>28</v>
      </c>
      <c r="G151" s="2">
        <v>1</v>
      </c>
      <c r="H151" s="2">
        <v>45000</v>
      </c>
      <c r="I151">
        <v>0.08</v>
      </c>
      <c r="J151" s="2">
        <v>41400</v>
      </c>
    </row>
    <row r="152" spans="1:10" x14ac:dyDescent="0.25">
      <c r="A152" t="s">
        <v>219</v>
      </c>
      <c r="B152" s="1">
        <v>45338</v>
      </c>
      <c r="C152" t="s">
        <v>212</v>
      </c>
      <c r="D152" t="s">
        <v>51</v>
      </c>
      <c r="E152" t="s">
        <v>879</v>
      </c>
      <c r="F152" t="s">
        <v>37</v>
      </c>
      <c r="G152" s="2">
        <v>2</v>
      </c>
      <c r="H152" s="2">
        <v>150000</v>
      </c>
      <c r="I152">
        <v>0.12</v>
      </c>
      <c r="J152" s="2">
        <v>264000</v>
      </c>
    </row>
    <row r="153" spans="1:10" x14ac:dyDescent="0.25">
      <c r="A153" t="s">
        <v>220</v>
      </c>
      <c r="B153" s="1">
        <v>45323</v>
      </c>
      <c r="C153" t="s">
        <v>212</v>
      </c>
      <c r="D153" t="s">
        <v>47</v>
      </c>
      <c r="E153" t="s">
        <v>880</v>
      </c>
      <c r="F153" t="s">
        <v>54</v>
      </c>
      <c r="G153" s="2">
        <v>3</v>
      </c>
      <c r="H153" s="2">
        <v>200000</v>
      </c>
      <c r="I153">
        <v>0.09</v>
      </c>
      <c r="J153" s="2">
        <v>546000</v>
      </c>
    </row>
    <row r="154" spans="1:10" x14ac:dyDescent="0.25">
      <c r="A154" t="s">
        <v>221</v>
      </c>
      <c r="B154" s="1">
        <v>45378</v>
      </c>
      <c r="C154" t="s">
        <v>212</v>
      </c>
      <c r="D154" t="s">
        <v>30</v>
      </c>
      <c r="E154" t="s">
        <v>878</v>
      </c>
      <c r="F154" t="s">
        <v>33</v>
      </c>
      <c r="G154" s="2">
        <v>5</v>
      </c>
      <c r="H154" s="2">
        <v>60000</v>
      </c>
      <c r="I154">
        <v>0.19</v>
      </c>
      <c r="J154" s="2">
        <v>243000</v>
      </c>
    </row>
    <row r="155" spans="1:10" x14ac:dyDescent="0.25">
      <c r="A155" t="s">
        <v>222</v>
      </c>
      <c r="B155" s="1">
        <v>45374</v>
      </c>
      <c r="C155" t="s">
        <v>212</v>
      </c>
      <c r="D155" t="s">
        <v>75</v>
      </c>
      <c r="E155" t="s">
        <v>880</v>
      </c>
      <c r="F155" t="s">
        <v>37</v>
      </c>
      <c r="G155" s="2">
        <v>3</v>
      </c>
      <c r="H155" s="2">
        <v>120000</v>
      </c>
      <c r="I155">
        <v>0.1</v>
      </c>
      <c r="J155" s="2">
        <v>324000</v>
      </c>
    </row>
    <row r="156" spans="1:10" x14ac:dyDescent="0.25">
      <c r="A156" t="s">
        <v>223</v>
      </c>
      <c r="B156" s="1">
        <v>45352</v>
      </c>
      <c r="C156" t="s">
        <v>212</v>
      </c>
      <c r="D156" t="s">
        <v>75</v>
      </c>
      <c r="E156" t="s">
        <v>880</v>
      </c>
      <c r="F156" t="s">
        <v>54</v>
      </c>
      <c r="G156" s="2">
        <v>4</v>
      </c>
      <c r="H156" s="2">
        <v>120000</v>
      </c>
      <c r="I156">
        <v>0.15</v>
      </c>
      <c r="J156" s="2">
        <v>408000</v>
      </c>
    </row>
    <row r="157" spans="1:10" x14ac:dyDescent="0.25">
      <c r="A157" t="s">
        <v>224</v>
      </c>
      <c r="B157" s="1">
        <v>45362</v>
      </c>
      <c r="C157" t="s">
        <v>212</v>
      </c>
      <c r="D157" t="s">
        <v>75</v>
      </c>
      <c r="E157" t="s">
        <v>877</v>
      </c>
      <c r="F157" t="s">
        <v>54</v>
      </c>
      <c r="G157" s="2">
        <v>5</v>
      </c>
      <c r="H157" s="2">
        <v>120000</v>
      </c>
      <c r="I157">
        <v>0.14000000000000001</v>
      </c>
      <c r="J157" s="2">
        <v>516000</v>
      </c>
    </row>
    <row r="158" spans="1:10" x14ac:dyDescent="0.25">
      <c r="A158" t="s">
        <v>225</v>
      </c>
      <c r="B158" s="1">
        <v>45374</v>
      </c>
      <c r="C158" t="s">
        <v>212</v>
      </c>
      <c r="D158" t="s">
        <v>24</v>
      </c>
      <c r="E158" t="s">
        <v>877</v>
      </c>
      <c r="F158" t="s">
        <v>28</v>
      </c>
      <c r="G158" s="2">
        <v>3</v>
      </c>
      <c r="H158" s="2">
        <v>75000</v>
      </c>
      <c r="I158">
        <v>0.15</v>
      </c>
      <c r="J158" s="2">
        <v>191200</v>
      </c>
    </row>
    <row r="159" spans="1:10" x14ac:dyDescent="0.25">
      <c r="A159" t="s">
        <v>226</v>
      </c>
      <c r="B159" s="1">
        <v>45362</v>
      </c>
      <c r="C159" t="s">
        <v>212</v>
      </c>
      <c r="D159" t="s">
        <v>47</v>
      </c>
      <c r="E159" t="s">
        <v>879</v>
      </c>
      <c r="F159" t="s">
        <v>37</v>
      </c>
      <c r="G159" s="2">
        <v>3</v>
      </c>
      <c r="H159" s="2">
        <v>200000</v>
      </c>
      <c r="I159">
        <v>0.1</v>
      </c>
      <c r="J159" s="2">
        <v>540000</v>
      </c>
    </row>
    <row r="160" spans="1:10" x14ac:dyDescent="0.25">
      <c r="A160" t="s">
        <v>227</v>
      </c>
      <c r="B160" s="1">
        <v>45409</v>
      </c>
      <c r="C160" t="s">
        <v>212</v>
      </c>
      <c r="D160" t="s">
        <v>75</v>
      </c>
      <c r="E160" t="s">
        <v>878</v>
      </c>
      <c r="F160" t="s">
        <v>37</v>
      </c>
      <c r="G160" s="2">
        <v>4</v>
      </c>
      <c r="H160" s="2">
        <v>120000</v>
      </c>
      <c r="I160">
        <v>0.08</v>
      </c>
      <c r="J160" s="2">
        <v>441600</v>
      </c>
    </row>
    <row r="161" spans="1:10" x14ac:dyDescent="0.25">
      <c r="A161" t="s">
        <v>228</v>
      </c>
      <c r="B161" s="1">
        <v>45385</v>
      </c>
      <c r="C161" t="s">
        <v>212</v>
      </c>
      <c r="D161" t="s">
        <v>40</v>
      </c>
      <c r="E161" t="s">
        <v>877</v>
      </c>
      <c r="F161" t="s">
        <v>28</v>
      </c>
      <c r="G161" s="2">
        <v>1</v>
      </c>
      <c r="H161" s="2">
        <v>85000</v>
      </c>
      <c r="I161">
        <v>0.15</v>
      </c>
      <c r="J161" s="2">
        <v>72200</v>
      </c>
    </row>
    <row r="162" spans="1:10" x14ac:dyDescent="0.25">
      <c r="A162" t="s">
        <v>229</v>
      </c>
      <c r="B162" s="1">
        <v>45393</v>
      </c>
      <c r="C162" t="s">
        <v>212</v>
      </c>
      <c r="D162" t="s">
        <v>40</v>
      </c>
      <c r="E162" t="s">
        <v>878</v>
      </c>
      <c r="F162" t="s">
        <v>28</v>
      </c>
      <c r="G162" s="2">
        <v>3</v>
      </c>
      <c r="H162" s="2">
        <v>85000</v>
      </c>
      <c r="I162">
        <v>0.11</v>
      </c>
      <c r="J162" s="2">
        <v>227000</v>
      </c>
    </row>
    <row r="163" spans="1:10" x14ac:dyDescent="0.25">
      <c r="A163" t="s">
        <v>230</v>
      </c>
      <c r="B163" s="1">
        <v>45408</v>
      </c>
      <c r="C163" t="s">
        <v>212</v>
      </c>
      <c r="D163" t="s">
        <v>51</v>
      </c>
      <c r="E163" t="s">
        <v>880</v>
      </c>
      <c r="F163" t="s">
        <v>28</v>
      </c>
      <c r="G163" s="2">
        <v>2</v>
      </c>
      <c r="H163" s="2">
        <v>150000</v>
      </c>
      <c r="I163">
        <v>0.13</v>
      </c>
      <c r="J163" s="2">
        <v>261000</v>
      </c>
    </row>
    <row r="164" spans="1:10" x14ac:dyDescent="0.25">
      <c r="A164" t="s">
        <v>231</v>
      </c>
      <c r="B164" s="1">
        <v>45395</v>
      </c>
      <c r="C164" t="s">
        <v>212</v>
      </c>
      <c r="D164" t="s">
        <v>51</v>
      </c>
      <c r="E164" t="s">
        <v>879</v>
      </c>
      <c r="F164" t="s">
        <v>33</v>
      </c>
      <c r="G164" s="2">
        <v>3</v>
      </c>
      <c r="H164" s="2">
        <v>150000</v>
      </c>
      <c r="I164">
        <v>0.1</v>
      </c>
      <c r="J164" s="2">
        <v>405000</v>
      </c>
    </row>
    <row r="165" spans="1:10" x14ac:dyDescent="0.25">
      <c r="A165" t="s">
        <v>232</v>
      </c>
      <c r="B165" s="1">
        <v>45431</v>
      </c>
      <c r="C165" t="s">
        <v>212</v>
      </c>
      <c r="D165" t="s">
        <v>30</v>
      </c>
      <c r="E165" t="s">
        <v>877</v>
      </c>
      <c r="F165" t="s">
        <v>54</v>
      </c>
      <c r="G165" s="2">
        <v>2</v>
      </c>
      <c r="H165" s="2">
        <v>60000</v>
      </c>
      <c r="I165">
        <v>0.18</v>
      </c>
      <c r="J165" s="2">
        <v>98400</v>
      </c>
    </row>
    <row r="166" spans="1:10" x14ac:dyDescent="0.25">
      <c r="A166" t="s">
        <v>233</v>
      </c>
      <c r="B166" s="1">
        <v>45424</v>
      </c>
      <c r="C166" t="s">
        <v>212</v>
      </c>
      <c r="D166" t="s">
        <v>30</v>
      </c>
      <c r="E166" t="s">
        <v>880</v>
      </c>
      <c r="F166" t="s">
        <v>28</v>
      </c>
      <c r="G166" s="2">
        <v>1</v>
      </c>
      <c r="H166" s="2">
        <v>60000</v>
      </c>
      <c r="I166">
        <v>0.1</v>
      </c>
      <c r="J166" s="2">
        <v>54000</v>
      </c>
    </row>
    <row r="167" spans="1:10" x14ac:dyDescent="0.25">
      <c r="A167" t="s">
        <v>234</v>
      </c>
      <c r="B167" s="1">
        <v>45424</v>
      </c>
      <c r="C167" t="s">
        <v>212</v>
      </c>
      <c r="D167" t="s">
        <v>51</v>
      </c>
      <c r="E167" t="s">
        <v>879</v>
      </c>
      <c r="F167" t="s">
        <v>28</v>
      </c>
      <c r="G167" s="2">
        <v>2</v>
      </c>
      <c r="H167" s="2">
        <v>150000</v>
      </c>
      <c r="I167">
        <v>0.09</v>
      </c>
      <c r="J167" s="2">
        <v>273000</v>
      </c>
    </row>
    <row r="168" spans="1:10" x14ac:dyDescent="0.25">
      <c r="A168" t="s">
        <v>235</v>
      </c>
      <c r="B168" s="1">
        <v>45421</v>
      </c>
      <c r="C168" t="s">
        <v>212</v>
      </c>
      <c r="D168" t="s">
        <v>47</v>
      </c>
      <c r="E168" t="s">
        <v>880</v>
      </c>
      <c r="F168" t="s">
        <v>54</v>
      </c>
      <c r="G168" s="2">
        <v>2</v>
      </c>
      <c r="H168" s="2">
        <v>200000</v>
      </c>
      <c r="I168">
        <v>0.06</v>
      </c>
      <c r="J168" s="2">
        <v>376000</v>
      </c>
    </row>
    <row r="169" spans="1:10" x14ac:dyDescent="0.25">
      <c r="A169" t="s">
        <v>236</v>
      </c>
      <c r="B169" s="1">
        <v>45433</v>
      </c>
      <c r="C169" t="s">
        <v>212</v>
      </c>
      <c r="D169" t="s">
        <v>40</v>
      </c>
      <c r="E169" t="s">
        <v>878</v>
      </c>
      <c r="F169" t="s">
        <v>37</v>
      </c>
      <c r="G169" s="2">
        <v>5</v>
      </c>
      <c r="H169" s="2">
        <v>85000</v>
      </c>
      <c r="I169">
        <v>0.08</v>
      </c>
      <c r="J169" s="2">
        <v>391000</v>
      </c>
    </row>
    <row r="170" spans="1:10" x14ac:dyDescent="0.25">
      <c r="A170" t="s">
        <v>237</v>
      </c>
      <c r="B170" s="1">
        <v>45463</v>
      </c>
      <c r="C170" t="s">
        <v>212</v>
      </c>
      <c r="D170" t="s">
        <v>60</v>
      </c>
      <c r="E170" t="s">
        <v>878</v>
      </c>
      <c r="F170" t="s">
        <v>28</v>
      </c>
      <c r="G170" s="2">
        <v>4</v>
      </c>
      <c r="H170" s="2">
        <v>95000</v>
      </c>
      <c r="I170">
        <v>0.1</v>
      </c>
      <c r="J170" s="2">
        <v>342000</v>
      </c>
    </row>
    <row r="171" spans="1:10" x14ac:dyDescent="0.25">
      <c r="A171" t="s">
        <v>238</v>
      </c>
      <c r="B171" s="1">
        <v>45457</v>
      </c>
      <c r="C171" t="s">
        <v>212</v>
      </c>
      <c r="D171" t="s">
        <v>24</v>
      </c>
      <c r="E171" t="s">
        <v>878</v>
      </c>
      <c r="F171" t="s">
        <v>33</v>
      </c>
      <c r="G171" s="2">
        <v>5</v>
      </c>
      <c r="H171" s="2">
        <v>75000</v>
      </c>
      <c r="I171">
        <v>0.12</v>
      </c>
      <c r="J171" s="2">
        <v>330000</v>
      </c>
    </row>
    <row r="172" spans="1:10" x14ac:dyDescent="0.25">
      <c r="A172" t="s">
        <v>239</v>
      </c>
      <c r="B172" s="1">
        <v>45466</v>
      </c>
      <c r="C172" t="s">
        <v>212</v>
      </c>
      <c r="D172" t="s">
        <v>35</v>
      </c>
      <c r="E172" t="s">
        <v>878</v>
      </c>
      <c r="F172" t="s">
        <v>37</v>
      </c>
      <c r="G172" s="2">
        <v>3</v>
      </c>
      <c r="H172" s="2">
        <v>45000</v>
      </c>
      <c r="I172">
        <v>0.13</v>
      </c>
      <c r="J172" s="2">
        <v>117400</v>
      </c>
    </row>
    <row r="173" spans="1:10" x14ac:dyDescent="0.25">
      <c r="A173" t="s">
        <v>240</v>
      </c>
      <c r="B173" s="1">
        <v>45496</v>
      </c>
      <c r="C173" t="s">
        <v>212</v>
      </c>
      <c r="D173" t="s">
        <v>60</v>
      </c>
      <c r="E173" t="s">
        <v>877</v>
      </c>
      <c r="F173" t="s">
        <v>28</v>
      </c>
      <c r="G173" s="2">
        <v>2</v>
      </c>
      <c r="H173" s="2">
        <v>95000</v>
      </c>
      <c r="I173">
        <v>7.0000000000000007E-2</v>
      </c>
      <c r="J173" s="2">
        <v>176700</v>
      </c>
    </row>
    <row r="174" spans="1:10" x14ac:dyDescent="0.25">
      <c r="A174" t="s">
        <v>241</v>
      </c>
      <c r="B174" s="1">
        <v>45501</v>
      </c>
      <c r="C174" t="s">
        <v>212</v>
      </c>
      <c r="D174" t="s">
        <v>51</v>
      </c>
      <c r="E174" t="s">
        <v>880</v>
      </c>
      <c r="F174" t="s">
        <v>54</v>
      </c>
      <c r="G174" s="2">
        <v>2</v>
      </c>
      <c r="H174" s="2">
        <v>150000</v>
      </c>
      <c r="I174">
        <v>0.09</v>
      </c>
      <c r="J174" s="2">
        <v>273000</v>
      </c>
    </row>
    <row r="175" spans="1:10" x14ac:dyDescent="0.25">
      <c r="A175" t="s">
        <v>242</v>
      </c>
      <c r="B175" s="1">
        <v>45481</v>
      </c>
      <c r="C175" t="s">
        <v>212</v>
      </c>
      <c r="D175" t="s">
        <v>40</v>
      </c>
      <c r="E175" t="s">
        <v>877</v>
      </c>
      <c r="F175" t="s">
        <v>54</v>
      </c>
      <c r="G175" s="2">
        <v>1</v>
      </c>
      <c r="H175" s="2">
        <v>85000</v>
      </c>
      <c r="I175">
        <v>0.08</v>
      </c>
      <c r="J175" s="2">
        <v>78200</v>
      </c>
    </row>
    <row r="176" spans="1:10" x14ac:dyDescent="0.25">
      <c r="A176" t="s">
        <v>243</v>
      </c>
      <c r="B176" s="1">
        <v>45497</v>
      </c>
      <c r="C176" t="s">
        <v>212</v>
      </c>
      <c r="D176" t="s">
        <v>40</v>
      </c>
      <c r="E176" t="s">
        <v>879</v>
      </c>
      <c r="F176" t="s">
        <v>37</v>
      </c>
      <c r="G176" s="2">
        <v>1</v>
      </c>
      <c r="H176" s="2">
        <v>85000</v>
      </c>
      <c r="I176">
        <v>0.06</v>
      </c>
      <c r="J176" s="2">
        <v>79900</v>
      </c>
    </row>
    <row r="177" spans="1:10" x14ac:dyDescent="0.25">
      <c r="A177" t="s">
        <v>244</v>
      </c>
      <c r="B177" s="1">
        <v>45493</v>
      </c>
      <c r="C177" t="s">
        <v>212</v>
      </c>
      <c r="D177" t="s">
        <v>47</v>
      </c>
      <c r="E177" t="s">
        <v>877</v>
      </c>
      <c r="F177" t="s">
        <v>33</v>
      </c>
      <c r="G177" s="2">
        <v>2</v>
      </c>
      <c r="H177" s="2">
        <v>200000</v>
      </c>
      <c r="I177">
        <v>0.12</v>
      </c>
      <c r="J177" s="2">
        <v>352000</v>
      </c>
    </row>
    <row r="178" spans="1:10" x14ac:dyDescent="0.25">
      <c r="A178" t="s">
        <v>245</v>
      </c>
      <c r="B178" s="1">
        <v>45488</v>
      </c>
      <c r="C178" t="s">
        <v>212</v>
      </c>
      <c r="D178" t="s">
        <v>30</v>
      </c>
      <c r="E178" t="s">
        <v>879</v>
      </c>
      <c r="F178" t="s">
        <v>54</v>
      </c>
      <c r="G178" s="2">
        <v>4</v>
      </c>
      <c r="H178" s="2">
        <v>60000</v>
      </c>
      <c r="I178">
        <v>0.08</v>
      </c>
      <c r="J178" s="2">
        <v>220800</v>
      </c>
    </row>
    <row r="179" spans="1:10" x14ac:dyDescent="0.25">
      <c r="A179" t="s">
        <v>246</v>
      </c>
      <c r="B179" s="1">
        <v>45526</v>
      </c>
      <c r="C179" t="s">
        <v>212</v>
      </c>
      <c r="D179" t="s">
        <v>47</v>
      </c>
      <c r="E179" t="s">
        <v>879</v>
      </c>
      <c r="F179" t="s">
        <v>54</v>
      </c>
      <c r="G179" s="2">
        <v>2</v>
      </c>
      <c r="H179" s="2">
        <v>200000</v>
      </c>
      <c r="I179">
        <v>0.15</v>
      </c>
      <c r="J179" s="2">
        <v>340000</v>
      </c>
    </row>
    <row r="180" spans="1:10" x14ac:dyDescent="0.25">
      <c r="A180" t="s">
        <v>247</v>
      </c>
      <c r="B180" s="1">
        <v>45522</v>
      </c>
      <c r="C180" t="s">
        <v>212</v>
      </c>
      <c r="D180" t="s">
        <v>35</v>
      </c>
      <c r="E180" t="s">
        <v>879</v>
      </c>
      <c r="F180" t="s">
        <v>28</v>
      </c>
      <c r="G180" s="2">
        <v>2</v>
      </c>
      <c r="H180" s="2">
        <v>45000</v>
      </c>
      <c r="I180">
        <v>0.06</v>
      </c>
      <c r="J180" s="2">
        <v>84600</v>
      </c>
    </row>
    <row r="181" spans="1:10" x14ac:dyDescent="0.25">
      <c r="A181" t="s">
        <v>248</v>
      </c>
      <c r="B181" s="1">
        <v>45522</v>
      </c>
      <c r="C181" t="s">
        <v>212</v>
      </c>
      <c r="D181" t="s">
        <v>60</v>
      </c>
      <c r="E181" t="s">
        <v>880</v>
      </c>
      <c r="F181" t="s">
        <v>28</v>
      </c>
      <c r="G181" s="2">
        <v>1</v>
      </c>
      <c r="H181" s="2">
        <v>95000</v>
      </c>
      <c r="I181">
        <v>0.09</v>
      </c>
      <c r="J181" s="2">
        <v>86400</v>
      </c>
    </row>
    <row r="182" spans="1:10" x14ac:dyDescent="0.25">
      <c r="A182" t="s">
        <v>249</v>
      </c>
      <c r="B182" s="1">
        <v>45561</v>
      </c>
      <c r="C182" t="s">
        <v>212</v>
      </c>
      <c r="D182" t="s">
        <v>40</v>
      </c>
      <c r="E182" t="s">
        <v>877</v>
      </c>
      <c r="F182" t="s">
        <v>28</v>
      </c>
      <c r="G182" s="2">
        <v>1</v>
      </c>
      <c r="H182" s="2">
        <v>85000</v>
      </c>
      <c r="I182">
        <v>7.0000000000000007E-2</v>
      </c>
      <c r="J182" s="2">
        <v>79000</v>
      </c>
    </row>
    <row r="183" spans="1:10" x14ac:dyDescent="0.25">
      <c r="A183" t="s">
        <v>250</v>
      </c>
      <c r="B183" s="1">
        <v>45549</v>
      </c>
      <c r="C183" t="s">
        <v>212</v>
      </c>
      <c r="D183" t="s">
        <v>35</v>
      </c>
      <c r="E183" t="s">
        <v>877</v>
      </c>
      <c r="F183" t="s">
        <v>37</v>
      </c>
      <c r="G183" s="2">
        <v>2</v>
      </c>
      <c r="H183" s="2">
        <v>45000</v>
      </c>
      <c r="I183">
        <v>0.08</v>
      </c>
      <c r="J183" s="2">
        <v>82800</v>
      </c>
    </row>
    <row r="184" spans="1:10" x14ac:dyDescent="0.25">
      <c r="A184" t="s">
        <v>251</v>
      </c>
      <c r="B184" s="1">
        <v>45552</v>
      </c>
      <c r="C184" t="s">
        <v>212</v>
      </c>
      <c r="D184" t="s">
        <v>40</v>
      </c>
      <c r="E184" t="s">
        <v>877</v>
      </c>
      <c r="F184" t="s">
        <v>33</v>
      </c>
      <c r="G184" s="2">
        <v>2</v>
      </c>
      <c r="H184" s="2">
        <v>85000</v>
      </c>
      <c r="I184">
        <v>0.08</v>
      </c>
      <c r="J184" s="2">
        <v>156400</v>
      </c>
    </row>
    <row r="185" spans="1:10" x14ac:dyDescent="0.25">
      <c r="A185" t="s">
        <v>252</v>
      </c>
      <c r="B185" s="1">
        <v>45554</v>
      </c>
      <c r="C185" t="s">
        <v>212</v>
      </c>
      <c r="D185" t="s">
        <v>60</v>
      </c>
      <c r="E185" t="s">
        <v>879</v>
      </c>
      <c r="F185" t="s">
        <v>33</v>
      </c>
      <c r="G185" s="2">
        <v>5</v>
      </c>
      <c r="H185" s="2">
        <v>95000</v>
      </c>
      <c r="I185">
        <v>0.09</v>
      </c>
      <c r="J185" s="2">
        <v>432200</v>
      </c>
    </row>
    <row r="186" spans="1:10" x14ac:dyDescent="0.25">
      <c r="A186" t="s">
        <v>253</v>
      </c>
      <c r="B186" s="1">
        <v>45550</v>
      </c>
      <c r="C186" t="s">
        <v>212</v>
      </c>
      <c r="D186" t="s">
        <v>30</v>
      </c>
      <c r="E186" t="s">
        <v>879</v>
      </c>
      <c r="F186" t="s">
        <v>33</v>
      </c>
      <c r="G186" s="2">
        <v>5</v>
      </c>
      <c r="H186" s="2">
        <v>60000</v>
      </c>
      <c r="I186">
        <v>0.17</v>
      </c>
      <c r="J186" s="2">
        <v>249000</v>
      </c>
    </row>
    <row r="187" spans="1:10" x14ac:dyDescent="0.25">
      <c r="A187" t="s">
        <v>254</v>
      </c>
      <c r="B187" s="1">
        <v>45569</v>
      </c>
      <c r="C187" t="s">
        <v>212</v>
      </c>
      <c r="D187" t="s">
        <v>35</v>
      </c>
      <c r="E187" t="s">
        <v>878</v>
      </c>
      <c r="F187" t="s">
        <v>54</v>
      </c>
      <c r="G187" s="2">
        <v>5</v>
      </c>
      <c r="H187" s="2">
        <v>45000</v>
      </c>
      <c r="I187">
        <v>0.14000000000000001</v>
      </c>
      <c r="J187" s="2">
        <v>193500</v>
      </c>
    </row>
    <row r="188" spans="1:10" x14ac:dyDescent="0.25">
      <c r="A188" t="s">
        <v>255</v>
      </c>
      <c r="B188" s="1">
        <v>45593</v>
      </c>
      <c r="C188" t="s">
        <v>212</v>
      </c>
      <c r="D188" t="s">
        <v>40</v>
      </c>
      <c r="E188" t="s">
        <v>878</v>
      </c>
      <c r="F188" t="s">
        <v>33</v>
      </c>
      <c r="G188" s="2">
        <v>2</v>
      </c>
      <c r="H188" s="2">
        <v>85000</v>
      </c>
      <c r="I188">
        <v>0.14000000000000001</v>
      </c>
      <c r="J188" s="2">
        <v>146200</v>
      </c>
    </row>
    <row r="189" spans="1:10" x14ac:dyDescent="0.25">
      <c r="A189" t="s">
        <v>256</v>
      </c>
      <c r="B189" s="1">
        <v>45571</v>
      </c>
      <c r="C189" t="s">
        <v>212</v>
      </c>
      <c r="D189" t="s">
        <v>75</v>
      </c>
      <c r="E189" t="s">
        <v>879</v>
      </c>
      <c r="F189" t="s">
        <v>54</v>
      </c>
      <c r="G189" s="2">
        <v>1</v>
      </c>
      <c r="H189" s="2">
        <v>120000</v>
      </c>
      <c r="I189">
        <v>0.09</v>
      </c>
      <c r="J189" s="2">
        <v>109200</v>
      </c>
    </row>
    <row r="190" spans="1:10" x14ac:dyDescent="0.25">
      <c r="A190" t="s">
        <v>257</v>
      </c>
      <c r="B190" s="1">
        <v>45582</v>
      </c>
      <c r="C190" t="s">
        <v>212</v>
      </c>
      <c r="D190" t="s">
        <v>40</v>
      </c>
      <c r="E190" t="s">
        <v>879</v>
      </c>
      <c r="F190" t="s">
        <v>37</v>
      </c>
      <c r="G190" s="2">
        <v>5</v>
      </c>
      <c r="H190" s="2">
        <v>85000</v>
      </c>
      <c r="I190">
        <v>0.08</v>
      </c>
      <c r="J190" s="2">
        <v>391000</v>
      </c>
    </row>
    <row r="191" spans="1:10" x14ac:dyDescent="0.25">
      <c r="A191" t="s">
        <v>258</v>
      </c>
      <c r="B191" s="1">
        <v>45581</v>
      </c>
      <c r="C191" t="s">
        <v>212</v>
      </c>
      <c r="D191" t="s">
        <v>30</v>
      </c>
      <c r="E191" t="s">
        <v>879</v>
      </c>
      <c r="F191" t="s">
        <v>33</v>
      </c>
      <c r="G191" s="2">
        <v>2</v>
      </c>
      <c r="H191" s="2">
        <v>60000</v>
      </c>
      <c r="I191">
        <v>0.14000000000000001</v>
      </c>
      <c r="J191" s="2">
        <v>103200</v>
      </c>
    </row>
    <row r="192" spans="1:10" x14ac:dyDescent="0.25">
      <c r="A192" t="s">
        <v>259</v>
      </c>
      <c r="B192" s="1">
        <v>45573</v>
      </c>
      <c r="C192" t="s">
        <v>212</v>
      </c>
      <c r="D192" t="s">
        <v>30</v>
      </c>
      <c r="E192" t="s">
        <v>878</v>
      </c>
      <c r="F192" t="s">
        <v>37</v>
      </c>
      <c r="G192" s="2">
        <v>3</v>
      </c>
      <c r="H192" s="2">
        <v>60000</v>
      </c>
      <c r="I192">
        <v>0.11</v>
      </c>
      <c r="J192" s="2">
        <v>160200</v>
      </c>
    </row>
    <row r="193" spans="1:10" x14ac:dyDescent="0.25">
      <c r="A193" t="s">
        <v>260</v>
      </c>
      <c r="B193" s="1">
        <v>45584</v>
      </c>
      <c r="C193" t="s">
        <v>212</v>
      </c>
      <c r="D193" t="s">
        <v>75</v>
      </c>
      <c r="E193" t="s">
        <v>877</v>
      </c>
      <c r="F193" t="s">
        <v>33</v>
      </c>
      <c r="G193" s="2">
        <v>2</v>
      </c>
      <c r="H193" s="2">
        <v>120000</v>
      </c>
      <c r="I193">
        <v>0.14000000000000001</v>
      </c>
      <c r="J193" s="2">
        <v>206400</v>
      </c>
    </row>
    <row r="194" spans="1:10" x14ac:dyDescent="0.25">
      <c r="A194" t="s">
        <v>261</v>
      </c>
      <c r="B194" s="1">
        <v>45574</v>
      </c>
      <c r="C194" t="s">
        <v>212</v>
      </c>
      <c r="D194" t="s">
        <v>30</v>
      </c>
      <c r="E194" t="s">
        <v>880</v>
      </c>
      <c r="F194" t="s">
        <v>28</v>
      </c>
      <c r="G194" s="2">
        <v>4</v>
      </c>
      <c r="H194" s="2">
        <v>60000</v>
      </c>
      <c r="I194">
        <v>0.09</v>
      </c>
      <c r="J194" s="2">
        <v>218400</v>
      </c>
    </row>
    <row r="195" spans="1:10" x14ac:dyDescent="0.25">
      <c r="A195" t="s">
        <v>262</v>
      </c>
      <c r="B195" s="1">
        <v>45597</v>
      </c>
      <c r="C195" t="s">
        <v>212</v>
      </c>
      <c r="D195" t="s">
        <v>35</v>
      </c>
      <c r="E195" t="s">
        <v>880</v>
      </c>
      <c r="F195" t="s">
        <v>37</v>
      </c>
      <c r="G195" s="2">
        <v>5</v>
      </c>
      <c r="H195" s="2">
        <v>45000</v>
      </c>
      <c r="I195">
        <v>0.1</v>
      </c>
      <c r="J195" s="2">
        <v>202500</v>
      </c>
    </row>
    <row r="196" spans="1:10" x14ac:dyDescent="0.25">
      <c r="A196" t="s">
        <v>263</v>
      </c>
      <c r="B196" s="1">
        <v>45609</v>
      </c>
      <c r="C196" t="s">
        <v>212</v>
      </c>
      <c r="D196" t="s">
        <v>51</v>
      </c>
      <c r="E196" t="s">
        <v>878</v>
      </c>
      <c r="F196" t="s">
        <v>37</v>
      </c>
      <c r="G196" s="2">
        <v>3</v>
      </c>
      <c r="H196" s="2">
        <v>150000</v>
      </c>
      <c r="I196">
        <v>0.05</v>
      </c>
      <c r="J196" s="2">
        <v>427500</v>
      </c>
    </row>
    <row r="197" spans="1:10" x14ac:dyDescent="0.25">
      <c r="A197" t="s">
        <v>264</v>
      </c>
      <c r="B197" s="1">
        <v>45613</v>
      </c>
      <c r="C197" t="s">
        <v>212</v>
      </c>
      <c r="D197" t="s">
        <v>40</v>
      </c>
      <c r="E197" t="s">
        <v>878</v>
      </c>
      <c r="F197" t="s">
        <v>37</v>
      </c>
      <c r="G197" s="2">
        <v>2</v>
      </c>
      <c r="H197" s="2">
        <v>85000</v>
      </c>
      <c r="I197">
        <v>0.11</v>
      </c>
      <c r="J197" s="2">
        <v>151300</v>
      </c>
    </row>
    <row r="198" spans="1:10" x14ac:dyDescent="0.25">
      <c r="A198" t="s">
        <v>265</v>
      </c>
      <c r="B198" s="1">
        <v>45622</v>
      </c>
      <c r="C198" t="s">
        <v>212</v>
      </c>
      <c r="D198" t="s">
        <v>35</v>
      </c>
      <c r="E198" t="s">
        <v>877</v>
      </c>
      <c r="F198" t="s">
        <v>33</v>
      </c>
      <c r="G198" s="2">
        <v>2</v>
      </c>
      <c r="H198" s="2">
        <v>45000</v>
      </c>
      <c r="I198">
        <v>0.17</v>
      </c>
      <c r="J198" s="2">
        <v>74700</v>
      </c>
    </row>
    <row r="199" spans="1:10" x14ac:dyDescent="0.25">
      <c r="A199" t="s">
        <v>266</v>
      </c>
      <c r="B199" s="1">
        <v>45606</v>
      </c>
      <c r="C199" t="s">
        <v>212</v>
      </c>
      <c r="D199" t="s">
        <v>40</v>
      </c>
      <c r="E199" t="s">
        <v>880</v>
      </c>
      <c r="F199" t="s">
        <v>33</v>
      </c>
      <c r="G199" s="2">
        <v>5</v>
      </c>
      <c r="H199" s="2">
        <v>85000</v>
      </c>
      <c r="I199">
        <v>0.18</v>
      </c>
      <c r="J199" s="2">
        <v>348500</v>
      </c>
    </row>
    <row r="200" spans="1:10" x14ac:dyDescent="0.25">
      <c r="A200" t="s">
        <v>267</v>
      </c>
      <c r="B200" s="1">
        <v>45615</v>
      </c>
      <c r="C200" t="s">
        <v>212</v>
      </c>
      <c r="D200" t="s">
        <v>51</v>
      </c>
      <c r="E200" t="s">
        <v>879</v>
      </c>
      <c r="F200" t="s">
        <v>28</v>
      </c>
      <c r="G200" s="2">
        <v>5</v>
      </c>
      <c r="H200" s="2">
        <v>150000</v>
      </c>
      <c r="I200">
        <v>0.06</v>
      </c>
      <c r="J200" s="2">
        <v>705000</v>
      </c>
    </row>
    <row r="201" spans="1:10" x14ac:dyDescent="0.25">
      <c r="A201" t="s">
        <v>268</v>
      </c>
      <c r="B201" s="1">
        <v>45618</v>
      </c>
      <c r="C201" t="s">
        <v>212</v>
      </c>
      <c r="D201" t="s">
        <v>47</v>
      </c>
      <c r="E201" t="s">
        <v>877</v>
      </c>
      <c r="F201" t="s">
        <v>54</v>
      </c>
      <c r="G201" s="2">
        <v>3</v>
      </c>
      <c r="H201" s="2">
        <v>200000</v>
      </c>
      <c r="I201">
        <v>7.0000000000000007E-2</v>
      </c>
      <c r="J201" s="2">
        <v>558000</v>
      </c>
    </row>
    <row r="202" spans="1:10" x14ac:dyDescent="0.25">
      <c r="A202" t="s">
        <v>269</v>
      </c>
      <c r="B202" s="1">
        <v>45615</v>
      </c>
      <c r="C202" t="s">
        <v>212</v>
      </c>
      <c r="D202" t="s">
        <v>30</v>
      </c>
      <c r="E202" t="s">
        <v>878</v>
      </c>
      <c r="F202" t="s">
        <v>28</v>
      </c>
      <c r="G202" s="2">
        <v>2</v>
      </c>
      <c r="H202" s="2">
        <v>60000</v>
      </c>
      <c r="I202">
        <v>0.16</v>
      </c>
      <c r="J202" s="2">
        <v>100800</v>
      </c>
    </row>
    <row r="203" spans="1:10" x14ac:dyDescent="0.25">
      <c r="A203" t="s">
        <v>270</v>
      </c>
      <c r="B203" s="1">
        <v>45639</v>
      </c>
      <c r="C203" t="s">
        <v>212</v>
      </c>
      <c r="D203" t="s">
        <v>60</v>
      </c>
      <c r="E203" t="s">
        <v>880</v>
      </c>
      <c r="F203" t="s">
        <v>37</v>
      </c>
      <c r="G203" s="2">
        <v>1</v>
      </c>
      <c r="H203" s="2">
        <v>95000</v>
      </c>
      <c r="I203">
        <v>0.1</v>
      </c>
      <c r="J203" s="2">
        <v>85500</v>
      </c>
    </row>
    <row r="204" spans="1:10" x14ac:dyDescent="0.25">
      <c r="A204" t="s">
        <v>271</v>
      </c>
      <c r="B204" s="1">
        <v>45629</v>
      </c>
      <c r="C204" t="s">
        <v>212</v>
      </c>
      <c r="D204" t="s">
        <v>51</v>
      </c>
      <c r="E204" t="s">
        <v>877</v>
      </c>
      <c r="F204" t="s">
        <v>33</v>
      </c>
      <c r="G204" s="2">
        <v>2</v>
      </c>
      <c r="H204" s="2">
        <v>150000</v>
      </c>
      <c r="I204">
        <v>0.08</v>
      </c>
      <c r="J204" s="2">
        <v>276000</v>
      </c>
    </row>
    <row r="205" spans="1:10" x14ac:dyDescent="0.25">
      <c r="A205" t="s">
        <v>272</v>
      </c>
      <c r="B205" s="1">
        <v>45646</v>
      </c>
      <c r="C205" t="s">
        <v>212</v>
      </c>
      <c r="D205" t="s">
        <v>30</v>
      </c>
      <c r="E205" t="s">
        <v>878</v>
      </c>
      <c r="F205" t="s">
        <v>28</v>
      </c>
      <c r="G205" s="2">
        <v>5</v>
      </c>
      <c r="H205" s="2">
        <v>60000</v>
      </c>
      <c r="I205">
        <v>0.12</v>
      </c>
      <c r="J205" s="2">
        <v>264000</v>
      </c>
    </row>
    <row r="206" spans="1:10" x14ac:dyDescent="0.25">
      <c r="A206" t="s">
        <v>273</v>
      </c>
      <c r="B206" s="1">
        <v>45629</v>
      </c>
      <c r="C206" t="s">
        <v>212</v>
      </c>
      <c r="D206" t="s">
        <v>24</v>
      </c>
      <c r="E206" t="s">
        <v>877</v>
      </c>
      <c r="F206" t="s">
        <v>37</v>
      </c>
      <c r="G206" s="2">
        <v>3</v>
      </c>
      <c r="H206" s="2">
        <v>75000</v>
      </c>
      <c r="I206">
        <v>0.17</v>
      </c>
      <c r="J206" s="2">
        <v>186800</v>
      </c>
    </row>
    <row r="207" spans="1:10" x14ac:dyDescent="0.25">
      <c r="A207" t="s">
        <v>274</v>
      </c>
      <c r="B207" s="1">
        <v>45643</v>
      </c>
      <c r="C207" t="s">
        <v>212</v>
      </c>
      <c r="D207" t="s">
        <v>60</v>
      </c>
      <c r="E207" t="s">
        <v>877</v>
      </c>
      <c r="F207" t="s">
        <v>54</v>
      </c>
      <c r="G207" s="2">
        <v>2</v>
      </c>
      <c r="H207" s="2">
        <v>95000</v>
      </c>
      <c r="I207">
        <v>0.08</v>
      </c>
      <c r="J207" s="2">
        <v>174800</v>
      </c>
    </row>
    <row r="208" spans="1:10" x14ac:dyDescent="0.25">
      <c r="A208" t="s">
        <v>275</v>
      </c>
      <c r="B208" s="1">
        <v>45307</v>
      </c>
      <c r="C208" t="s">
        <v>276</v>
      </c>
      <c r="D208" t="s">
        <v>24</v>
      </c>
      <c r="E208" t="s">
        <v>878</v>
      </c>
      <c r="F208" t="s">
        <v>37</v>
      </c>
      <c r="G208" s="2">
        <v>2</v>
      </c>
      <c r="H208" s="2">
        <v>75000</v>
      </c>
      <c r="I208">
        <v>0.06</v>
      </c>
      <c r="J208" s="2">
        <v>141000</v>
      </c>
    </row>
    <row r="209" spans="1:10" x14ac:dyDescent="0.25">
      <c r="A209" t="s">
        <v>279</v>
      </c>
      <c r="B209" s="1">
        <v>45315</v>
      </c>
      <c r="C209" t="s">
        <v>276</v>
      </c>
      <c r="D209" t="s">
        <v>24</v>
      </c>
      <c r="E209" t="s">
        <v>878</v>
      </c>
      <c r="F209" t="s">
        <v>33</v>
      </c>
      <c r="G209" s="2">
        <v>5</v>
      </c>
      <c r="H209" s="2">
        <v>75000</v>
      </c>
      <c r="I209">
        <v>7.0000000000000007E-2</v>
      </c>
      <c r="J209" s="2">
        <v>348800</v>
      </c>
    </row>
    <row r="210" spans="1:10" x14ac:dyDescent="0.25">
      <c r="A210" t="s">
        <v>280</v>
      </c>
      <c r="B210" s="1">
        <v>45337</v>
      </c>
      <c r="C210" t="s">
        <v>276</v>
      </c>
      <c r="D210" t="s">
        <v>30</v>
      </c>
      <c r="E210" t="s">
        <v>880</v>
      </c>
      <c r="F210" t="s">
        <v>37</v>
      </c>
      <c r="G210" s="2">
        <v>2</v>
      </c>
      <c r="H210" s="2">
        <v>60000</v>
      </c>
      <c r="I210">
        <v>0.02</v>
      </c>
      <c r="J210" s="2">
        <v>117600</v>
      </c>
    </row>
    <row r="211" spans="1:10" x14ac:dyDescent="0.25">
      <c r="A211" t="s">
        <v>281</v>
      </c>
      <c r="B211" s="1">
        <v>45342</v>
      </c>
      <c r="C211" t="s">
        <v>276</v>
      </c>
      <c r="D211" t="s">
        <v>47</v>
      </c>
      <c r="E211" t="s">
        <v>877</v>
      </c>
      <c r="F211" t="s">
        <v>28</v>
      </c>
      <c r="G211" s="2">
        <v>4</v>
      </c>
      <c r="H211" s="2">
        <v>200000</v>
      </c>
      <c r="I211">
        <v>0.04</v>
      </c>
      <c r="J211" s="2">
        <v>768000</v>
      </c>
    </row>
    <row r="212" spans="1:10" x14ac:dyDescent="0.25">
      <c r="A212" t="s">
        <v>282</v>
      </c>
      <c r="B212" s="1">
        <v>45323</v>
      </c>
      <c r="C212" t="s">
        <v>276</v>
      </c>
      <c r="D212" t="s">
        <v>60</v>
      </c>
      <c r="E212" t="s">
        <v>880</v>
      </c>
      <c r="F212" t="s">
        <v>33</v>
      </c>
      <c r="G212" s="2">
        <v>5</v>
      </c>
      <c r="H212" s="2">
        <v>95000</v>
      </c>
      <c r="I212">
        <v>0.08</v>
      </c>
      <c r="J212" s="2">
        <v>437000</v>
      </c>
    </row>
    <row r="213" spans="1:10" x14ac:dyDescent="0.25">
      <c r="A213" t="s">
        <v>283</v>
      </c>
      <c r="B213" s="1">
        <v>45337</v>
      </c>
      <c r="C213" t="s">
        <v>276</v>
      </c>
      <c r="D213" t="s">
        <v>51</v>
      </c>
      <c r="E213" t="s">
        <v>880</v>
      </c>
      <c r="F213" t="s">
        <v>33</v>
      </c>
      <c r="G213" s="2">
        <v>2</v>
      </c>
      <c r="H213" s="2">
        <v>150000</v>
      </c>
      <c r="I213">
        <v>0.11</v>
      </c>
      <c r="J213" s="2">
        <v>267000</v>
      </c>
    </row>
    <row r="214" spans="1:10" x14ac:dyDescent="0.25">
      <c r="A214" t="s">
        <v>284</v>
      </c>
      <c r="B214" s="1">
        <v>45330</v>
      </c>
      <c r="C214" t="s">
        <v>276</v>
      </c>
      <c r="D214" t="s">
        <v>51</v>
      </c>
      <c r="E214" t="s">
        <v>880</v>
      </c>
      <c r="F214" t="s">
        <v>28</v>
      </c>
      <c r="G214" s="2">
        <v>2</v>
      </c>
      <c r="H214" s="2">
        <v>150000</v>
      </c>
      <c r="I214">
        <v>0.03</v>
      </c>
      <c r="J214" s="2">
        <v>291000</v>
      </c>
    </row>
    <row r="215" spans="1:10" x14ac:dyDescent="0.25">
      <c r="A215" t="s">
        <v>285</v>
      </c>
      <c r="B215" s="1">
        <v>45343</v>
      </c>
      <c r="C215" t="s">
        <v>276</v>
      </c>
      <c r="D215" t="s">
        <v>30</v>
      </c>
      <c r="E215" t="s">
        <v>879</v>
      </c>
      <c r="F215" t="s">
        <v>54</v>
      </c>
      <c r="G215" s="2">
        <v>2</v>
      </c>
      <c r="H215" s="2">
        <v>60000</v>
      </c>
      <c r="I215">
        <v>0.04</v>
      </c>
      <c r="J215" s="2">
        <v>115200</v>
      </c>
    </row>
    <row r="216" spans="1:10" x14ac:dyDescent="0.25">
      <c r="A216" t="s">
        <v>286</v>
      </c>
      <c r="B216" s="1">
        <v>45336</v>
      </c>
      <c r="C216" t="s">
        <v>276</v>
      </c>
      <c r="D216" t="s">
        <v>60</v>
      </c>
      <c r="E216" t="s">
        <v>880</v>
      </c>
      <c r="F216" t="s">
        <v>28</v>
      </c>
      <c r="G216" s="2">
        <v>1</v>
      </c>
      <c r="H216" s="2">
        <v>95000</v>
      </c>
      <c r="I216">
        <v>0.09</v>
      </c>
      <c r="J216" s="2">
        <v>86400</v>
      </c>
    </row>
    <row r="217" spans="1:10" x14ac:dyDescent="0.25">
      <c r="A217" t="s">
        <v>287</v>
      </c>
      <c r="B217" s="1">
        <v>45358</v>
      </c>
      <c r="C217" t="s">
        <v>276</v>
      </c>
      <c r="D217" t="s">
        <v>51</v>
      </c>
      <c r="E217" t="s">
        <v>879</v>
      </c>
      <c r="F217" t="s">
        <v>37</v>
      </c>
      <c r="G217" s="2">
        <v>3</v>
      </c>
      <c r="H217" s="2">
        <v>150000</v>
      </c>
      <c r="I217">
        <v>0.06</v>
      </c>
      <c r="J217" s="2">
        <v>423000</v>
      </c>
    </row>
    <row r="218" spans="1:10" x14ac:dyDescent="0.25">
      <c r="A218" t="s">
        <v>288</v>
      </c>
      <c r="B218" s="1">
        <v>45366</v>
      </c>
      <c r="C218" t="s">
        <v>276</v>
      </c>
      <c r="D218" t="s">
        <v>40</v>
      </c>
      <c r="E218" t="s">
        <v>879</v>
      </c>
      <c r="F218" t="s">
        <v>33</v>
      </c>
      <c r="G218" s="2">
        <v>2</v>
      </c>
      <c r="H218" s="2">
        <v>85000</v>
      </c>
      <c r="I218">
        <v>0.06</v>
      </c>
      <c r="J218" s="2">
        <v>159800</v>
      </c>
    </row>
    <row r="219" spans="1:10" x14ac:dyDescent="0.25">
      <c r="A219" t="s">
        <v>289</v>
      </c>
      <c r="B219" s="1">
        <v>45370</v>
      </c>
      <c r="C219" t="s">
        <v>276</v>
      </c>
      <c r="D219" t="s">
        <v>30</v>
      </c>
      <c r="E219" t="s">
        <v>877</v>
      </c>
      <c r="F219" t="s">
        <v>37</v>
      </c>
      <c r="G219" s="2">
        <v>1</v>
      </c>
      <c r="H219" s="2">
        <v>60000</v>
      </c>
      <c r="I219">
        <v>0.01</v>
      </c>
      <c r="J219" s="2">
        <v>59400</v>
      </c>
    </row>
    <row r="220" spans="1:10" x14ac:dyDescent="0.25">
      <c r="A220" t="s">
        <v>290</v>
      </c>
      <c r="B220" s="1">
        <v>45377</v>
      </c>
      <c r="C220" t="s">
        <v>276</v>
      </c>
      <c r="D220" t="s">
        <v>75</v>
      </c>
      <c r="E220" t="s">
        <v>877</v>
      </c>
      <c r="F220" t="s">
        <v>33</v>
      </c>
      <c r="G220" s="2">
        <v>4</v>
      </c>
      <c r="H220" s="2">
        <v>120000</v>
      </c>
      <c r="I220">
        <v>0</v>
      </c>
      <c r="J220" s="2">
        <v>480000</v>
      </c>
    </row>
    <row r="221" spans="1:10" x14ac:dyDescent="0.25">
      <c r="A221" t="s">
        <v>291</v>
      </c>
      <c r="B221" s="1">
        <v>45403</v>
      </c>
      <c r="C221" t="s">
        <v>276</v>
      </c>
      <c r="D221" t="s">
        <v>30</v>
      </c>
      <c r="E221" t="s">
        <v>880</v>
      </c>
      <c r="F221" t="s">
        <v>37</v>
      </c>
      <c r="G221" s="2">
        <v>2</v>
      </c>
      <c r="H221" s="2">
        <v>60000</v>
      </c>
      <c r="I221">
        <v>0.1</v>
      </c>
      <c r="J221" s="2">
        <v>108000</v>
      </c>
    </row>
    <row r="222" spans="1:10" x14ac:dyDescent="0.25">
      <c r="A222" t="s">
        <v>292</v>
      </c>
      <c r="B222" s="1">
        <v>45401</v>
      </c>
      <c r="C222" t="s">
        <v>276</v>
      </c>
      <c r="D222" t="s">
        <v>51</v>
      </c>
      <c r="E222" t="s">
        <v>880</v>
      </c>
      <c r="F222" t="s">
        <v>33</v>
      </c>
      <c r="G222" s="2">
        <v>2</v>
      </c>
      <c r="H222" s="2">
        <v>150000</v>
      </c>
      <c r="I222">
        <v>0.08</v>
      </c>
      <c r="J222" s="2">
        <v>276000</v>
      </c>
    </row>
    <row r="223" spans="1:10" x14ac:dyDescent="0.25">
      <c r="A223" t="s">
        <v>293</v>
      </c>
      <c r="B223" s="1">
        <v>45385</v>
      </c>
      <c r="C223" t="s">
        <v>276</v>
      </c>
      <c r="D223" t="s">
        <v>51</v>
      </c>
      <c r="E223" t="s">
        <v>880</v>
      </c>
      <c r="F223" t="s">
        <v>28</v>
      </c>
      <c r="G223" s="2">
        <v>2</v>
      </c>
      <c r="H223" s="2">
        <v>150000</v>
      </c>
      <c r="I223">
        <v>7.0000000000000007E-2</v>
      </c>
      <c r="J223" s="2">
        <v>279000</v>
      </c>
    </row>
    <row r="224" spans="1:10" x14ac:dyDescent="0.25">
      <c r="A224" t="s">
        <v>294</v>
      </c>
      <c r="B224" s="1">
        <v>45428</v>
      </c>
      <c r="C224" t="s">
        <v>276</v>
      </c>
      <c r="D224" t="s">
        <v>35</v>
      </c>
      <c r="E224" t="s">
        <v>879</v>
      </c>
      <c r="F224" t="s">
        <v>54</v>
      </c>
      <c r="G224" s="2">
        <v>2</v>
      </c>
      <c r="H224" s="2">
        <v>45000</v>
      </c>
      <c r="I224">
        <v>0.09</v>
      </c>
      <c r="J224" s="2">
        <v>81900</v>
      </c>
    </row>
    <row r="225" spans="1:10" x14ac:dyDescent="0.25">
      <c r="A225" t="s">
        <v>295</v>
      </c>
      <c r="B225" s="1">
        <v>45435</v>
      </c>
      <c r="C225" t="s">
        <v>276</v>
      </c>
      <c r="D225" t="s">
        <v>60</v>
      </c>
      <c r="E225" t="s">
        <v>878</v>
      </c>
      <c r="F225" t="s">
        <v>54</v>
      </c>
      <c r="G225" s="2">
        <v>5</v>
      </c>
      <c r="H225" s="2">
        <v>95000</v>
      </c>
      <c r="I225">
        <v>0.01</v>
      </c>
      <c r="J225" s="2">
        <v>470200</v>
      </c>
    </row>
    <row r="226" spans="1:10" x14ac:dyDescent="0.25">
      <c r="A226" t="s">
        <v>296</v>
      </c>
      <c r="B226" s="1">
        <v>45420</v>
      </c>
      <c r="C226" t="s">
        <v>276</v>
      </c>
      <c r="D226" t="s">
        <v>30</v>
      </c>
      <c r="E226" t="s">
        <v>879</v>
      </c>
      <c r="F226" t="s">
        <v>28</v>
      </c>
      <c r="G226" s="2">
        <v>4</v>
      </c>
      <c r="H226" s="2">
        <v>60000</v>
      </c>
      <c r="I226">
        <v>0.03</v>
      </c>
      <c r="J226" s="2">
        <v>232800</v>
      </c>
    </row>
    <row r="227" spans="1:10" x14ac:dyDescent="0.25">
      <c r="A227" t="s">
        <v>297</v>
      </c>
      <c r="B227" s="1">
        <v>45424</v>
      </c>
      <c r="C227" t="s">
        <v>276</v>
      </c>
      <c r="D227" t="s">
        <v>30</v>
      </c>
      <c r="E227" t="s">
        <v>880</v>
      </c>
      <c r="F227" t="s">
        <v>28</v>
      </c>
      <c r="G227" s="2">
        <v>1</v>
      </c>
      <c r="H227" s="2">
        <v>60000</v>
      </c>
      <c r="I227">
        <v>0.03</v>
      </c>
      <c r="J227" s="2">
        <v>58200</v>
      </c>
    </row>
    <row r="228" spans="1:10" x14ac:dyDescent="0.25">
      <c r="A228" t="s">
        <v>298</v>
      </c>
      <c r="B228" s="1">
        <v>45440</v>
      </c>
      <c r="C228" t="s">
        <v>276</v>
      </c>
      <c r="D228" t="s">
        <v>24</v>
      </c>
      <c r="E228" t="s">
        <v>879</v>
      </c>
      <c r="F228" t="s">
        <v>54</v>
      </c>
      <c r="G228" s="2">
        <v>4</v>
      </c>
      <c r="H228" s="2">
        <v>75000</v>
      </c>
      <c r="I228">
        <v>7.0000000000000007E-2</v>
      </c>
      <c r="J228" s="2">
        <v>279000</v>
      </c>
    </row>
    <row r="229" spans="1:10" x14ac:dyDescent="0.25">
      <c r="A229" t="s">
        <v>299</v>
      </c>
      <c r="B229" s="1">
        <v>45420</v>
      </c>
      <c r="C229" t="s">
        <v>276</v>
      </c>
      <c r="D229" t="s">
        <v>60</v>
      </c>
      <c r="E229" t="s">
        <v>878</v>
      </c>
      <c r="F229" t="s">
        <v>37</v>
      </c>
      <c r="G229" s="2">
        <v>1</v>
      </c>
      <c r="H229" s="2">
        <v>95000</v>
      </c>
      <c r="I229">
        <v>0.08</v>
      </c>
      <c r="J229" s="2">
        <v>87400</v>
      </c>
    </row>
    <row r="230" spans="1:10" x14ac:dyDescent="0.25">
      <c r="A230" t="s">
        <v>300</v>
      </c>
      <c r="B230" s="1">
        <v>45417</v>
      </c>
      <c r="C230" t="s">
        <v>276</v>
      </c>
      <c r="D230" t="s">
        <v>51</v>
      </c>
      <c r="E230" t="s">
        <v>880</v>
      </c>
      <c r="F230" t="s">
        <v>54</v>
      </c>
      <c r="G230" s="2">
        <v>1</v>
      </c>
      <c r="H230" s="2">
        <v>150000</v>
      </c>
      <c r="I230">
        <v>0.1</v>
      </c>
      <c r="J230" s="2">
        <v>135000</v>
      </c>
    </row>
    <row r="231" spans="1:10" x14ac:dyDescent="0.25">
      <c r="A231" t="s">
        <v>301</v>
      </c>
      <c r="B231" s="1">
        <v>45471</v>
      </c>
      <c r="C231" t="s">
        <v>276</v>
      </c>
      <c r="D231" t="s">
        <v>47</v>
      </c>
      <c r="E231" t="s">
        <v>880</v>
      </c>
      <c r="F231" t="s">
        <v>37</v>
      </c>
      <c r="G231" s="2">
        <v>5</v>
      </c>
      <c r="H231" s="2">
        <v>200000</v>
      </c>
      <c r="I231">
        <v>0.05</v>
      </c>
      <c r="J231" s="2">
        <v>950000</v>
      </c>
    </row>
    <row r="232" spans="1:10" x14ac:dyDescent="0.25">
      <c r="A232" t="s">
        <v>302</v>
      </c>
      <c r="B232" s="1">
        <v>45466</v>
      </c>
      <c r="C232" t="s">
        <v>276</v>
      </c>
      <c r="D232" t="s">
        <v>35</v>
      </c>
      <c r="E232" t="s">
        <v>878</v>
      </c>
      <c r="F232" t="s">
        <v>28</v>
      </c>
      <c r="G232" s="2">
        <v>1</v>
      </c>
      <c r="H232" s="2">
        <v>45000</v>
      </c>
      <c r="I232">
        <v>0.04</v>
      </c>
      <c r="J232" s="2">
        <v>43200</v>
      </c>
    </row>
    <row r="233" spans="1:10" x14ac:dyDescent="0.25">
      <c r="A233" t="s">
        <v>303</v>
      </c>
      <c r="B233" s="1">
        <v>45486</v>
      </c>
      <c r="C233" t="s">
        <v>276</v>
      </c>
      <c r="D233" t="s">
        <v>40</v>
      </c>
      <c r="E233" t="s">
        <v>877</v>
      </c>
      <c r="F233" t="s">
        <v>37</v>
      </c>
      <c r="G233" s="2">
        <v>1</v>
      </c>
      <c r="H233" s="2">
        <v>85000</v>
      </c>
      <c r="I233">
        <v>7.0000000000000007E-2</v>
      </c>
      <c r="J233" s="2">
        <v>79000</v>
      </c>
    </row>
    <row r="234" spans="1:10" x14ac:dyDescent="0.25">
      <c r="A234" t="s">
        <v>304</v>
      </c>
      <c r="B234" s="1">
        <v>45476</v>
      </c>
      <c r="C234" t="s">
        <v>276</v>
      </c>
      <c r="D234" t="s">
        <v>75</v>
      </c>
      <c r="E234" t="s">
        <v>878</v>
      </c>
      <c r="F234" t="s">
        <v>54</v>
      </c>
      <c r="G234" s="2">
        <v>3</v>
      </c>
      <c r="H234" s="2">
        <v>120000</v>
      </c>
      <c r="I234">
        <v>0.02</v>
      </c>
      <c r="J234" s="2">
        <v>352800</v>
      </c>
    </row>
    <row r="235" spans="1:10" x14ac:dyDescent="0.25">
      <c r="A235" t="s">
        <v>305</v>
      </c>
      <c r="B235" s="1">
        <v>45493</v>
      </c>
      <c r="C235" t="s">
        <v>276</v>
      </c>
      <c r="D235" t="s">
        <v>75</v>
      </c>
      <c r="E235" t="s">
        <v>880</v>
      </c>
      <c r="F235" t="s">
        <v>54</v>
      </c>
      <c r="G235" s="2">
        <v>1</v>
      </c>
      <c r="H235" s="2">
        <v>120000</v>
      </c>
      <c r="I235">
        <v>0.06</v>
      </c>
      <c r="J235" s="2">
        <v>112800</v>
      </c>
    </row>
    <row r="236" spans="1:10" x14ac:dyDescent="0.25">
      <c r="A236" t="s">
        <v>306</v>
      </c>
      <c r="B236" s="1">
        <v>45501</v>
      </c>
      <c r="C236" t="s">
        <v>276</v>
      </c>
      <c r="D236" t="s">
        <v>75</v>
      </c>
      <c r="E236" t="s">
        <v>880</v>
      </c>
      <c r="F236" t="s">
        <v>28</v>
      </c>
      <c r="G236" s="2">
        <v>5</v>
      </c>
      <c r="H236" s="2">
        <v>120000</v>
      </c>
      <c r="I236">
        <v>0.01</v>
      </c>
      <c r="J236" s="2">
        <v>594000</v>
      </c>
    </row>
    <row r="237" spans="1:10" x14ac:dyDescent="0.25">
      <c r="A237" t="s">
        <v>307</v>
      </c>
      <c r="B237" s="1">
        <v>45485</v>
      </c>
      <c r="C237" t="s">
        <v>276</v>
      </c>
      <c r="D237" t="s">
        <v>30</v>
      </c>
      <c r="E237" t="s">
        <v>877</v>
      </c>
      <c r="F237" t="s">
        <v>37</v>
      </c>
      <c r="G237" s="2">
        <v>2</v>
      </c>
      <c r="H237" s="2">
        <v>60000</v>
      </c>
      <c r="I237">
        <v>0.1</v>
      </c>
      <c r="J237" s="2">
        <v>108000</v>
      </c>
    </row>
    <row r="238" spans="1:10" x14ac:dyDescent="0.25">
      <c r="A238" t="s">
        <v>308</v>
      </c>
      <c r="B238" s="1">
        <v>45500</v>
      </c>
      <c r="C238" t="s">
        <v>276</v>
      </c>
      <c r="D238" t="s">
        <v>75</v>
      </c>
      <c r="E238" t="s">
        <v>880</v>
      </c>
      <c r="F238" t="s">
        <v>28</v>
      </c>
      <c r="G238" s="2">
        <v>4</v>
      </c>
      <c r="H238" s="2">
        <v>120000</v>
      </c>
      <c r="I238">
        <v>0.01</v>
      </c>
      <c r="J238" s="2">
        <v>475200</v>
      </c>
    </row>
    <row r="239" spans="1:10" x14ac:dyDescent="0.25">
      <c r="A239" t="s">
        <v>309</v>
      </c>
      <c r="B239" s="1">
        <v>45498</v>
      </c>
      <c r="C239" t="s">
        <v>276</v>
      </c>
      <c r="D239" t="s">
        <v>47</v>
      </c>
      <c r="E239" t="s">
        <v>880</v>
      </c>
      <c r="F239" t="s">
        <v>54</v>
      </c>
      <c r="G239" s="2">
        <v>5</v>
      </c>
      <c r="H239" s="2">
        <v>200000</v>
      </c>
      <c r="I239">
        <v>7.0000000000000007E-2</v>
      </c>
      <c r="J239" s="2">
        <v>930000</v>
      </c>
    </row>
    <row r="240" spans="1:10" x14ac:dyDescent="0.25">
      <c r="A240" t="s">
        <v>310</v>
      </c>
      <c r="B240" s="1">
        <v>45507</v>
      </c>
      <c r="C240" t="s">
        <v>276</v>
      </c>
      <c r="D240" t="s">
        <v>51</v>
      </c>
      <c r="E240" t="s">
        <v>878</v>
      </c>
      <c r="F240" t="s">
        <v>37</v>
      </c>
      <c r="G240" s="2">
        <v>2</v>
      </c>
      <c r="H240" s="2">
        <v>150000</v>
      </c>
      <c r="I240">
        <v>7.0000000000000007E-2</v>
      </c>
      <c r="J240" s="2">
        <v>279000</v>
      </c>
    </row>
    <row r="241" spans="1:10" x14ac:dyDescent="0.25">
      <c r="A241" t="s">
        <v>311</v>
      </c>
      <c r="B241" s="1">
        <v>45523</v>
      </c>
      <c r="C241" t="s">
        <v>276</v>
      </c>
      <c r="D241" t="s">
        <v>60</v>
      </c>
      <c r="E241" t="s">
        <v>880</v>
      </c>
      <c r="F241" t="s">
        <v>33</v>
      </c>
      <c r="G241" s="2">
        <v>5</v>
      </c>
      <c r="H241" s="2">
        <v>95000</v>
      </c>
      <c r="I241">
        <v>0.03</v>
      </c>
      <c r="J241" s="2">
        <v>460800</v>
      </c>
    </row>
    <row r="242" spans="1:10" x14ac:dyDescent="0.25">
      <c r="A242" t="s">
        <v>312</v>
      </c>
      <c r="B242" s="1">
        <v>45515</v>
      </c>
      <c r="C242" t="s">
        <v>276</v>
      </c>
      <c r="D242" t="s">
        <v>30</v>
      </c>
      <c r="E242" t="s">
        <v>879</v>
      </c>
      <c r="F242" t="s">
        <v>33</v>
      </c>
      <c r="G242" s="2">
        <v>2</v>
      </c>
      <c r="H242" s="2">
        <v>60000</v>
      </c>
      <c r="I242">
        <v>0.06</v>
      </c>
      <c r="J242" s="2">
        <v>112800</v>
      </c>
    </row>
    <row r="243" spans="1:10" x14ac:dyDescent="0.25">
      <c r="A243" t="s">
        <v>313</v>
      </c>
      <c r="B243" s="1">
        <v>45506</v>
      </c>
      <c r="C243" t="s">
        <v>276</v>
      </c>
      <c r="D243" t="s">
        <v>40</v>
      </c>
      <c r="E243" t="s">
        <v>879</v>
      </c>
      <c r="F243" t="s">
        <v>33</v>
      </c>
      <c r="G243" s="2">
        <v>1</v>
      </c>
      <c r="H243" s="2">
        <v>85000</v>
      </c>
      <c r="I243">
        <v>0.11</v>
      </c>
      <c r="J243" s="2">
        <v>75600</v>
      </c>
    </row>
    <row r="244" spans="1:10" x14ac:dyDescent="0.25">
      <c r="A244" t="s">
        <v>314</v>
      </c>
      <c r="B244" s="1">
        <v>45528</v>
      </c>
      <c r="C244" t="s">
        <v>276</v>
      </c>
      <c r="D244" t="s">
        <v>75</v>
      </c>
      <c r="E244" t="s">
        <v>877</v>
      </c>
      <c r="F244" t="s">
        <v>28</v>
      </c>
      <c r="G244" s="2">
        <v>2</v>
      </c>
      <c r="H244" s="2">
        <v>120000</v>
      </c>
      <c r="I244">
        <v>0.04</v>
      </c>
      <c r="J244" s="2">
        <v>230400</v>
      </c>
    </row>
    <row r="245" spans="1:10" x14ac:dyDescent="0.25">
      <c r="A245" t="s">
        <v>315</v>
      </c>
      <c r="B245" s="1">
        <v>45523</v>
      </c>
      <c r="C245" t="s">
        <v>276</v>
      </c>
      <c r="D245" t="s">
        <v>51</v>
      </c>
      <c r="E245" t="s">
        <v>879</v>
      </c>
      <c r="F245" t="s">
        <v>28</v>
      </c>
      <c r="G245" s="2">
        <v>1</v>
      </c>
      <c r="H245" s="2">
        <v>150000</v>
      </c>
      <c r="I245">
        <v>0.04</v>
      </c>
      <c r="J245" s="2">
        <v>144000</v>
      </c>
    </row>
    <row r="246" spans="1:10" x14ac:dyDescent="0.25">
      <c r="A246" t="s">
        <v>316</v>
      </c>
      <c r="B246" s="1">
        <v>45510</v>
      </c>
      <c r="C246" t="s">
        <v>276</v>
      </c>
      <c r="D246" t="s">
        <v>30</v>
      </c>
      <c r="E246" t="s">
        <v>878</v>
      </c>
      <c r="F246" t="s">
        <v>54</v>
      </c>
      <c r="G246" s="2">
        <v>2</v>
      </c>
      <c r="H246" s="2">
        <v>60000</v>
      </c>
      <c r="I246">
        <v>0.09</v>
      </c>
      <c r="J246" s="2">
        <v>109200</v>
      </c>
    </row>
    <row r="247" spans="1:10" x14ac:dyDescent="0.25">
      <c r="A247" t="s">
        <v>317</v>
      </c>
      <c r="B247" s="1">
        <v>45549</v>
      </c>
      <c r="C247" t="s">
        <v>276</v>
      </c>
      <c r="D247" t="s">
        <v>51</v>
      </c>
      <c r="E247" t="s">
        <v>880</v>
      </c>
      <c r="F247" t="s">
        <v>37</v>
      </c>
      <c r="G247" s="2">
        <v>1</v>
      </c>
      <c r="H247" s="2">
        <v>150000</v>
      </c>
      <c r="I247">
        <v>0.04</v>
      </c>
      <c r="J247" s="2">
        <v>144000</v>
      </c>
    </row>
    <row r="248" spans="1:10" x14ac:dyDescent="0.25">
      <c r="A248" t="s">
        <v>318</v>
      </c>
      <c r="B248" s="1">
        <v>45560</v>
      </c>
      <c r="C248" t="s">
        <v>276</v>
      </c>
      <c r="D248" t="s">
        <v>47</v>
      </c>
      <c r="E248" t="s">
        <v>880</v>
      </c>
      <c r="F248" t="s">
        <v>28</v>
      </c>
      <c r="G248" s="2">
        <v>2</v>
      </c>
      <c r="H248" s="2">
        <v>200000</v>
      </c>
      <c r="I248">
        <v>0.06</v>
      </c>
      <c r="J248" s="2">
        <v>376000</v>
      </c>
    </row>
    <row r="249" spans="1:10" x14ac:dyDescent="0.25">
      <c r="A249" t="s">
        <v>319</v>
      </c>
      <c r="B249" s="1">
        <v>45539</v>
      </c>
      <c r="C249" t="s">
        <v>276</v>
      </c>
      <c r="D249" t="s">
        <v>75</v>
      </c>
      <c r="E249" t="s">
        <v>879</v>
      </c>
      <c r="F249" t="s">
        <v>54</v>
      </c>
      <c r="G249" s="2">
        <v>2</v>
      </c>
      <c r="H249" s="2">
        <v>120000</v>
      </c>
      <c r="I249">
        <v>0.11</v>
      </c>
      <c r="J249" s="2">
        <v>213600</v>
      </c>
    </row>
    <row r="250" spans="1:10" x14ac:dyDescent="0.25">
      <c r="A250" t="s">
        <v>320</v>
      </c>
      <c r="B250" s="1">
        <v>45557</v>
      </c>
      <c r="C250" t="s">
        <v>276</v>
      </c>
      <c r="D250" t="s">
        <v>51</v>
      </c>
      <c r="E250" t="s">
        <v>877</v>
      </c>
      <c r="F250" t="s">
        <v>33</v>
      </c>
      <c r="G250" s="2">
        <v>1</v>
      </c>
      <c r="H250" s="2">
        <v>150000</v>
      </c>
      <c r="I250">
        <v>0.01</v>
      </c>
      <c r="J250" s="2">
        <v>148500</v>
      </c>
    </row>
    <row r="251" spans="1:10" x14ac:dyDescent="0.25">
      <c r="A251" t="s">
        <v>321</v>
      </c>
      <c r="B251" s="1">
        <v>45538</v>
      </c>
      <c r="C251" t="s">
        <v>276</v>
      </c>
      <c r="D251" t="s">
        <v>30</v>
      </c>
      <c r="E251" t="s">
        <v>878</v>
      </c>
      <c r="F251" t="s">
        <v>37</v>
      </c>
      <c r="G251" s="2">
        <v>2</v>
      </c>
      <c r="H251" s="2">
        <v>60000</v>
      </c>
      <c r="I251">
        <v>0.06</v>
      </c>
      <c r="J251" s="2">
        <v>112800</v>
      </c>
    </row>
    <row r="252" spans="1:10" x14ac:dyDescent="0.25">
      <c r="A252" t="s">
        <v>322</v>
      </c>
      <c r="B252" s="1">
        <v>45544</v>
      </c>
      <c r="C252" t="s">
        <v>276</v>
      </c>
      <c r="D252" t="s">
        <v>60</v>
      </c>
      <c r="E252" t="s">
        <v>880</v>
      </c>
      <c r="F252" t="s">
        <v>28</v>
      </c>
      <c r="G252" s="2">
        <v>5</v>
      </c>
      <c r="H252" s="2">
        <v>95000</v>
      </c>
      <c r="I252">
        <v>0.05</v>
      </c>
      <c r="J252" s="2">
        <v>451200</v>
      </c>
    </row>
    <row r="253" spans="1:10" x14ac:dyDescent="0.25">
      <c r="A253" t="s">
        <v>323</v>
      </c>
      <c r="B253" s="1">
        <v>45560</v>
      </c>
      <c r="C253" t="s">
        <v>276</v>
      </c>
      <c r="D253" t="s">
        <v>60</v>
      </c>
      <c r="E253" t="s">
        <v>879</v>
      </c>
      <c r="F253" t="s">
        <v>37</v>
      </c>
      <c r="G253" s="2">
        <v>3</v>
      </c>
      <c r="H253" s="2">
        <v>95000</v>
      </c>
      <c r="I253">
        <v>0.05</v>
      </c>
      <c r="J253" s="2">
        <v>270800</v>
      </c>
    </row>
    <row r="254" spans="1:10" x14ac:dyDescent="0.25">
      <c r="A254" t="s">
        <v>324</v>
      </c>
      <c r="B254" s="1">
        <v>45573</v>
      </c>
      <c r="C254" t="s">
        <v>276</v>
      </c>
      <c r="D254" t="s">
        <v>60</v>
      </c>
      <c r="E254" t="s">
        <v>880</v>
      </c>
      <c r="F254" t="s">
        <v>28</v>
      </c>
      <c r="G254" s="2">
        <v>5</v>
      </c>
      <c r="H254" s="2">
        <v>95000</v>
      </c>
      <c r="I254">
        <v>7.0000000000000007E-2</v>
      </c>
      <c r="J254" s="2">
        <v>441700</v>
      </c>
    </row>
    <row r="255" spans="1:10" x14ac:dyDescent="0.25">
      <c r="A255" t="s">
        <v>325</v>
      </c>
      <c r="B255" s="1">
        <v>45583</v>
      </c>
      <c r="C255" t="s">
        <v>276</v>
      </c>
      <c r="D255" t="s">
        <v>47</v>
      </c>
      <c r="E255" t="s">
        <v>880</v>
      </c>
      <c r="F255" t="s">
        <v>37</v>
      </c>
      <c r="G255" s="2">
        <v>2</v>
      </c>
      <c r="H255" s="2">
        <v>200000</v>
      </c>
      <c r="I255">
        <v>7.0000000000000007E-2</v>
      </c>
      <c r="J255" s="2">
        <v>372000</v>
      </c>
    </row>
    <row r="256" spans="1:10" x14ac:dyDescent="0.25">
      <c r="A256" t="s">
        <v>326</v>
      </c>
      <c r="B256" s="1">
        <v>45593</v>
      </c>
      <c r="C256" t="s">
        <v>276</v>
      </c>
      <c r="D256" t="s">
        <v>60</v>
      </c>
      <c r="E256" t="s">
        <v>879</v>
      </c>
      <c r="F256" t="s">
        <v>37</v>
      </c>
      <c r="G256" s="2">
        <v>5</v>
      </c>
      <c r="H256" s="2">
        <v>95000</v>
      </c>
      <c r="I256">
        <v>0.04</v>
      </c>
      <c r="J256" s="2">
        <v>456000</v>
      </c>
    </row>
    <row r="257" spans="1:10" x14ac:dyDescent="0.25">
      <c r="A257" t="s">
        <v>327</v>
      </c>
      <c r="B257" s="1">
        <v>45569</v>
      </c>
      <c r="C257" t="s">
        <v>276</v>
      </c>
      <c r="D257" t="s">
        <v>35</v>
      </c>
      <c r="E257" t="s">
        <v>879</v>
      </c>
      <c r="F257" t="s">
        <v>54</v>
      </c>
      <c r="G257" s="2">
        <v>3</v>
      </c>
      <c r="H257" s="2">
        <v>45000</v>
      </c>
      <c r="I257">
        <v>0.02</v>
      </c>
      <c r="J257" s="2">
        <v>132300</v>
      </c>
    </row>
    <row r="258" spans="1:10" x14ac:dyDescent="0.25">
      <c r="A258" t="s">
        <v>328</v>
      </c>
      <c r="B258" s="1">
        <v>45572</v>
      </c>
      <c r="C258" t="s">
        <v>276</v>
      </c>
      <c r="D258" t="s">
        <v>75</v>
      </c>
      <c r="E258" t="s">
        <v>880</v>
      </c>
      <c r="F258" t="s">
        <v>54</v>
      </c>
      <c r="G258" s="2">
        <v>4</v>
      </c>
      <c r="H258" s="2">
        <v>120000</v>
      </c>
      <c r="I258">
        <v>0.08</v>
      </c>
      <c r="J258" s="2">
        <v>441600</v>
      </c>
    </row>
    <row r="259" spans="1:10" x14ac:dyDescent="0.25">
      <c r="A259" t="s">
        <v>329</v>
      </c>
      <c r="B259" s="1">
        <v>45580</v>
      </c>
      <c r="C259" t="s">
        <v>276</v>
      </c>
      <c r="D259" t="s">
        <v>24</v>
      </c>
      <c r="E259" t="s">
        <v>880</v>
      </c>
      <c r="F259" t="s">
        <v>28</v>
      </c>
      <c r="G259" s="2">
        <v>2</v>
      </c>
      <c r="H259" s="2">
        <v>75000</v>
      </c>
      <c r="I259">
        <v>0.05</v>
      </c>
      <c r="J259" s="2">
        <v>142500</v>
      </c>
    </row>
    <row r="260" spans="1:10" x14ac:dyDescent="0.25">
      <c r="A260" t="s">
        <v>330</v>
      </c>
      <c r="B260" s="1">
        <v>45615</v>
      </c>
      <c r="C260" t="s">
        <v>276</v>
      </c>
      <c r="D260" t="s">
        <v>51</v>
      </c>
      <c r="E260" t="s">
        <v>878</v>
      </c>
      <c r="F260" t="s">
        <v>54</v>
      </c>
      <c r="G260" s="2">
        <v>1</v>
      </c>
      <c r="H260" s="2">
        <v>150000</v>
      </c>
      <c r="I260">
        <v>7.0000000000000007E-2</v>
      </c>
      <c r="J260" s="2">
        <v>139500</v>
      </c>
    </row>
    <row r="261" spans="1:10" x14ac:dyDescent="0.25">
      <c r="A261" t="s">
        <v>331</v>
      </c>
      <c r="B261" s="1">
        <v>45613</v>
      </c>
      <c r="C261" t="s">
        <v>276</v>
      </c>
      <c r="D261" t="s">
        <v>40</v>
      </c>
      <c r="E261" t="s">
        <v>878</v>
      </c>
      <c r="F261" t="s">
        <v>37</v>
      </c>
      <c r="G261" s="2">
        <v>1</v>
      </c>
      <c r="H261" s="2">
        <v>85000</v>
      </c>
      <c r="I261">
        <v>0.04</v>
      </c>
      <c r="J261" s="2">
        <v>81600</v>
      </c>
    </row>
    <row r="262" spans="1:10" x14ac:dyDescent="0.25">
      <c r="A262" t="s">
        <v>332</v>
      </c>
      <c r="B262" s="1">
        <v>45607</v>
      </c>
      <c r="C262" t="s">
        <v>276</v>
      </c>
      <c r="D262" t="s">
        <v>35</v>
      </c>
      <c r="E262" t="s">
        <v>880</v>
      </c>
      <c r="F262" t="s">
        <v>54</v>
      </c>
      <c r="G262" s="2">
        <v>3</v>
      </c>
      <c r="H262" s="2">
        <v>45000</v>
      </c>
      <c r="I262">
        <v>0.08</v>
      </c>
      <c r="J262" s="2">
        <v>124200</v>
      </c>
    </row>
    <row r="263" spans="1:10" x14ac:dyDescent="0.25">
      <c r="A263" t="s">
        <v>333</v>
      </c>
      <c r="B263" s="1">
        <v>45603</v>
      </c>
      <c r="C263" t="s">
        <v>276</v>
      </c>
      <c r="D263" t="s">
        <v>40</v>
      </c>
      <c r="E263" t="s">
        <v>878</v>
      </c>
      <c r="F263" t="s">
        <v>54</v>
      </c>
      <c r="G263" s="2">
        <v>1</v>
      </c>
      <c r="H263" s="2">
        <v>85000</v>
      </c>
      <c r="I263">
        <v>0.06</v>
      </c>
      <c r="J263" s="2">
        <v>79900</v>
      </c>
    </row>
    <row r="264" spans="1:10" x14ac:dyDescent="0.25">
      <c r="A264" t="s">
        <v>334</v>
      </c>
      <c r="B264" s="1">
        <v>45613</v>
      </c>
      <c r="C264" t="s">
        <v>276</v>
      </c>
      <c r="D264" t="s">
        <v>30</v>
      </c>
      <c r="E264" t="s">
        <v>878</v>
      </c>
      <c r="F264" t="s">
        <v>37</v>
      </c>
      <c r="G264" s="2">
        <v>5</v>
      </c>
      <c r="H264" s="2">
        <v>60000</v>
      </c>
      <c r="I264">
        <v>0.06</v>
      </c>
      <c r="J264" s="2">
        <v>282000</v>
      </c>
    </row>
    <row r="265" spans="1:10" x14ac:dyDescent="0.25">
      <c r="A265" t="s">
        <v>335</v>
      </c>
      <c r="B265" s="1">
        <v>45651</v>
      </c>
      <c r="C265" t="s">
        <v>276</v>
      </c>
      <c r="D265" t="s">
        <v>30</v>
      </c>
      <c r="E265" t="s">
        <v>877</v>
      </c>
      <c r="F265" t="s">
        <v>37</v>
      </c>
      <c r="G265" s="2">
        <v>3</v>
      </c>
      <c r="H265" s="2">
        <v>60000</v>
      </c>
      <c r="I265">
        <v>0.02</v>
      </c>
      <c r="J265" s="2">
        <v>176400</v>
      </c>
    </row>
    <row r="266" spans="1:10" x14ac:dyDescent="0.25">
      <c r="A266" t="s">
        <v>336</v>
      </c>
      <c r="B266" s="1">
        <v>45633</v>
      </c>
      <c r="C266" t="s">
        <v>276</v>
      </c>
      <c r="D266" t="s">
        <v>47</v>
      </c>
      <c r="E266" t="s">
        <v>879</v>
      </c>
      <c r="F266" t="s">
        <v>37</v>
      </c>
      <c r="G266" s="2">
        <v>3</v>
      </c>
      <c r="H266" s="2">
        <v>200000</v>
      </c>
      <c r="I266">
        <v>0.01</v>
      </c>
      <c r="J266" s="2">
        <v>594000</v>
      </c>
    </row>
    <row r="267" spans="1:10" x14ac:dyDescent="0.25">
      <c r="A267" t="s">
        <v>337</v>
      </c>
      <c r="B267" s="1">
        <v>45639</v>
      </c>
      <c r="C267" t="s">
        <v>276</v>
      </c>
      <c r="D267" t="s">
        <v>24</v>
      </c>
      <c r="E267" t="s">
        <v>879</v>
      </c>
      <c r="F267" t="s">
        <v>54</v>
      </c>
      <c r="G267" s="2">
        <v>2</v>
      </c>
      <c r="H267" s="2">
        <v>75000</v>
      </c>
      <c r="I267">
        <v>0.04</v>
      </c>
      <c r="J267" s="2">
        <v>144000</v>
      </c>
    </row>
    <row r="268" spans="1:10" x14ac:dyDescent="0.25">
      <c r="A268" t="s">
        <v>338</v>
      </c>
      <c r="B268" s="1">
        <v>45627</v>
      </c>
      <c r="C268" t="s">
        <v>276</v>
      </c>
      <c r="D268" t="s">
        <v>24</v>
      </c>
      <c r="E268" t="s">
        <v>880</v>
      </c>
      <c r="F268" t="s">
        <v>54</v>
      </c>
      <c r="G268" s="2">
        <v>1</v>
      </c>
      <c r="H268" s="2">
        <v>75000</v>
      </c>
      <c r="I268">
        <v>0.04</v>
      </c>
      <c r="J268" s="2">
        <v>72000</v>
      </c>
    </row>
    <row r="269" spans="1:10" x14ac:dyDescent="0.25">
      <c r="A269" t="s">
        <v>339</v>
      </c>
      <c r="B269" s="1">
        <v>45640</v>
      </c>
      <c r="C269" t="s">
        <v>276</v>
      </c>
      <c r="D269" t="s">
        <v>47</v>
      </c>
      <c r="E269" t="s">
        <v>880</v>
      </c>
      <c r="F269" t="s">
        <v>37</v>
      </c>
      <c r="G269" s="2">
        <v>2</v>
      </c>
      <c r="H269" s="2">
        <v>200000</v>
      </c>
      <c r="I269">
        <v>0.02</v>
      </c>
      <c r="J269" s="2">
        <v>392000</v>
      </c>
    </row>
    <row r="270" spans="1:10" x14ac:dyDescent="0.25">
      <c r="A270" t="s">
        <v>340</v>
      </c>
      <c r="B270" s="1">
        <v>45307</v>
      </c>
      <c r="C270" t="s">
        <v>341</v>
      </c>
      <c r="D270" t="s">
        <v>40</v>
      </c>
      <c r="E270" t="s">
        <v>880</v>
      </c>
      <c r="F270" t="s">
        <v>37</v>
      </c>
      <c r="G270" s="2">
        <v>4</v>
      </c>
      <c r="H270" s="2">
        <v>85000</v>
      </c>
      <c r="I270">
        <v>0.02</v>
      </c>
      <c r="J270" s="2">
        <v>333200</v>
      </c>
    </row>
    <row r="271" spans="1:10" x14ac:dyDescent="0.25">
      <c r="A271" t="s">
        <v>344</v>
      </c>
      <c r="B271" s="1">
        <v>45305</v>
      </c>
      <c r="C271" t="s">
        <v>341</v>
      </c>
      <c r="D271" t="s">
        <v>60</v>
      </c>
      <c r="E271" t="s">
        <v>878</v>
      </c>
      <c r="F271" t="s">
        <v>33</v>
      </c>
      <c r="G271" s="2">
        <v>5</v>
      </c>
      <c r="H271" s="2">
        <v>95000</v>
      </c>
      <c r="I271">
        <v>0.09</v>
      </c>
      <c r="J271" s="2">
        <v>432200</v>
      </c>
    </row>
    <row r="272" spans="1:10" x14ac:dyDescent="0.25">
      <c r="A272" t="s">
        <v>345</v>
      </c>
      <c r="B272" s="1">
        <v>45310</v>
      </c>
      <c r="C272" t="s">
        <v>341</v>
      </c>
      <c r="D272" t="s">
        <v>75</v>
      </c>
      <c r="E272" t="s">
        <v>878</v>
      </c>
      <c r="F272" t="s">
        <v>33</v>
      </c>
      <c r="G272" s="2">
        <v>1</v>
      </c>
      <c r="H272" s="2">
        <v>120000</v>
      </c>
      <c r="I272">
        <v>0.1</v>
      </c>
      <c r="J272" s="2">
        <v>108000</v>
      </c>
    </row>
    <row r="273" spans="1:10" x14ac:dyDescent="0.25">
      <c r="A273" t="s">
        <v>346</v>
      </c>
      <c r="B273" s="1">
        <v>45337</v>
      </c>
      <c r="C273" t="s">
        <v>341</v>
      </c>
      <c r="D273" t="s">
        <v>75</v>
      </c>
      <c r="E273" t="s">
        <v>880</v>
      </c>
      <c r="F273" t="s">
        <v>54</v>
      </c>
      <c r="G273" s="2">
        <v>2</v>
      </c>
      <c r="H273" s="2">
        <v>120000</v>
      </c>
      <c r="I273">
        <v>0.1</v>
      </c>
      <c r="J273" s="2">
        <v>216000</v>
      </c>
    </row>
    <row r="274" spans="1:10" x14ac:dyDescent="0.25">
      <c r="A274" t="s">
        <v>347</v>
      </c>
      <c r="B274" s="1">
        <v>45324</v>
      </c>
      <c r="C274" t="s">
        <v>341</v>
      </c>
      <c r="D274" t="s">
        <v>51</v>
      </c>
      <c r="E274" t="s">
        <v>877</v>
      </c>
      <c r="F274" t="s">
        <v>54</v>
      </c>
      <c r="G274" s="2">
        <v>5</v>
      </c>
      <c r="H274" s="2">
        <v>150000</v>
      </c>
      <c r="I274">
        <v>0.11</v>
      </c>
      <c r="J274" s="2">
        <v>667500</v>
      </c>
    </row>
    <row r="275" spans="1:10" x14ac:dyDescent="0.25">
      <c r="A275" t="s">
        <v>348</v>
      </c>
      <c r="B275" s="1">
        <v>45349</v>
      </c>
      <c r="C275" t="s">
        <v>341</v>
      </c>
      <c r="D275" t="s">
        <v>51</v>
      </c>
      <c r="E275" t="s">
        <v>879</v>
      </c>
      <c r="F275" t="s">
        <v>37</v>
      </c>
      <c r="G275" s="2">
        <v>1</v>
      </c>
      <c r="H275" s="2">
        <v>150000</v>
      </c>
      <c r="I275">
        <v>0.05</v>
      </c>
      <c r="J275" s="2">
        <v>142500</v>
      </c>
    </row>
    <row r="276" spans="1:10" x14ac:dyDescent="0.25">
      <c r="A276" t="s">
        <v>349</v>
      </c>
      <c r="B276" s="1">
        <v>45327</v>
      </c>
      <c r="C276" t="s">
        <v>341</v>
      </c>
      <c r="D276" t="s">
        <v>24</v>
      </c>
      <c r="E276" t="s">
        <v>880</v>
      </c>
      <c r="F276" t="s">
        <v>54</v>
      </c>
      <c r="G276" s="2">
        <v>1</v>
      </c>
      <c r="H276" s="2">
        <v>75000</v>
      </c>
      <c r="I276">
        <v>0.06</v>
      </c>
      <c r="J276" s="2">
        <v>70500</v>
      </c>
    </row>
    <row r="277" spans="1:10" x14ac:dyDescent="0.25">
      <c r="A277" t="s">
        <v>350</v>
      </c>
      <c r="B277" s="1">
        <v>45327</v>
      </c>
      <c r="C277" t="s">
        <v>341</v>
      </c>
      <c r="D277" t="s">
        <v>24</v>
      </c>
      <c r="E277" t="s">
        <v>877</v>
      </c>
      <c r="F277" t="s">
        <v>33</v>
      </c>
      <c r="G277" s="2">
        <v>4</v>
      </c>
      <c r="H277" s="2">
        <v>75000</v>
      </c>
      <c r="I277">
        <v>0.03</v>
      </c>
      <c r="J277" s="2">
        <v>291000</v>
      </c>
    </row>
    <row r="278" spans="1:10" x14ac:dyDescent="0.25">
      <c r="A278" t="s">
        <v>351</v>
      </c>
      <c r="B278" s="1">
        <v>45325</v>
      </c>
      <c r="C278" t="s">
        <v>341</v>
      </c>
      <c r="D278" t="s">
        <v>51</v>
      </c>
      <c r="E278" t="s">
        <v>877</v>
      </c>
      <c r="F278" t="s">
        <v>33</v>
      </c>
      <c r="G278" s="2">
        <v>3</v>
      </c>
      <c r="H278" s="2">
        <v>150000</v>
      </c>
      <c r="I278">
        <v>0</v>
      </c>
      <c r="J278" s="2">
        <v>450000</v>
      </c>
    </row>
    <row r="279" spans="1:10" x14ac:dyDescent="0.25">
      <c r="A279" t="s">
        <v>352</v>
      </c>
      <c r="B279" s="1">
        <v>45325</v>
      </c>
      <c r="C279" t="s">
        <v>341</v>
      </c>
      <c r="D279" t="s">
        <v>30</v>
      </c>
      <c r="E279" t="s">
        <v>879</v>
      </c>
      <c r="F279" t="s">
        <v>28</v>
      </c>
      <c r="G279" s="2">
        <v>1</v>
      </c>
      <c r="H279" s="2">
        <v>60000</v>
      </c>
      <c r="I279">
        <v>0.05</v>
      </c>
      <c r="J279" s="2">
        <v>57000</v>
      </c>
    </row>
    <row r="280" spans="1:10" x14ac:dyDescent="0.25">
      <c r="A280" t="s">
        <v>353</v>
      </c>
      <c r="B280" s="1">
        <v>45346</v>
      </c>
      <c r="C280" t="s">
        <v>341</v>
      </c>
      <c r="D280" t="s">
        <v>35</v>
      </c>
      <c r="E280" t="s">
        <v>879</v>
      </c>
      <c r="F280" t="s">
        <v>54</v>
      </c>
      <c r="G280" s="2">
        <v>3</v>
      </c>
      <c r="H280" s="2">
        <v>45000</v>
      </c>
      <c r="I280">
        <v>0.08</v>
      </c>
      <c r="J280" s="2">
        <v>124200</v>
      </c>
    </row>
    <row r="281" spans="1:10" x14ac:dyDescent="0.25">
      <c r="A281" t="s">
        <v>354</v>
      </c>
      <c r="B281" s="1">
        <v>45344</v>
      </c>
      <c r="C281" t="s">
        <v>341</v>
      </c>
      <c r="D281" t="s">
        <v>75</v>
      </c>
      <c r="E281" t="s">
        <v>878</v>
      </c>
      <c r="F281" t="s">
        <v>37</v>
      </c>
      <c r="G281" s="2">
        <v>1</v>
      </c>
      <c r="H281" s="2">
        <v>120000</v>
      </c>
      <c r="I281">
        <v>0.01</v>
      </c>
      <c r="J281" s="2">
        <v>118800</v>
      </c>
    </row>
    <row r="282" spans="1:10" x14ac:dyDescent="0.25">
      <c r="A282" t="s">
        <v>355</v>
      </c>
      <c r="B282" s="1">
        <v>45344</v>
      </c>
      <c r="C282" t="s">
        <v>341</v>
      </c>
      <c r="D282" t="s">
        <v>51</v>
      </c>
      <c r="E282" t="s">
        <v>878</v>
      </c>
      <c r="F282" t="s">
        <v>33</v>
      </c>
      <c r="G282" s="2">
        <v>4</v>
      </c>
      <c r="H282" s="2">
        <v>150000</v>
      </c>
      <c r="I282">
        <v>0.06</v>
      </c>
      <c r="J282" s="2">
        <v>564000</v>
      </c>
    </row>
    <row r="283" spans="1:10" x14ac:dyDescent="0.25">
      <c r="A283" t="s">
        <v>356</v>
      </c>
      <c r="B283" s="1">
        <v>45360</v>
      </c>
      <c r="C283" t="s">
        <v>341</v>
      </c>
      <c r="D283" t="s">
        <v>40</v>
      </c>
      <c r="E283" t="s">
        <v>878</v>
      </c>
      <c r="F283" t="s">
        <v>54</v>
      </c>
      <c r="G283" s="2">
        <v>1</v>
      </c>
      <c r="H283" s="2">
        <v>85000</v>
      </c>
      <c r="I283">
        <v>0.01</v>
      </c>
      <c r="J283" s="2">
        <v>84200</v>
      </c>
    </row>
    <row r="284" spans="1:10" x14ac:dyDescent="0.25">
      <c r="A284" t="s">
        <v>357</v>
      </c>
      <c r="B284" s="1">
        <v>45375</v>
      </c>
      <c r="C284" t="s">
        <v>341</v>
      </c>
      <c r="D284" t="s">
        <v>60</v>
      </c>
      <c r="E284" t="s">
        <v>879</v>
      </c>
      <c r="F284" t="s">
        <v>37</v>
      </c>
      <c r="G284" s="2">
        <v>4</v>
      </c>
      <c r="H284" s="2">
        <v>95000</v>
      </c>
      <c r="I284">
        <v>0.02</v>
      </c>
      <c r="J284" s="2">
        <v>372400</v>
      </c>
    </row>
    <row r="285" spans="1:10" x14ac:dyDescent="0.25">
      <c r="A285" t="s">
        <v>358</v>
      </c>
      <c r="B285" s="1">
        <v>45370</v>
      </c>
      <c r="C285" t="s">
        <v>341</v>
      </c>
      <c r="D285" t="s">
        <v>51</v>
      </c>
      <c r="E285" t="s">
        <v>880</v>
      </c>
      <c r="F285" t="s">
        <v>54</v>
      </c>
      <c r="G285" s="2">
        <v>2</v>
      </c>
      <c r="H285" s="2">
        <v>150000</v>
      </c>
      <c r="I285">
        <v>0.04</v>
      </c>
      <c r="J285" s="2">
        <v>288000</v>
      </c>
    </row>
    <row r="286" spans="1:10" x14ac:dyDescent="0.25">
      <c r="A286" t="s">
        <v>359</v>
      </c>
      <c r="B286" s="1">
        <v>45369</v>
      </c>
      <c r="C286" t="s">
        <v>341</v>
      </c>
      <c r="D286" t="s">
        <v>51</v>
      </c>
      <c r="E286" t="s">
        <v>877</v>
      </c>
      <c r="F286" t="s">
        <v>37</v>
      </c>
      <c r="G286" s="2">
        <v>5</v>
      </c>
      <c r="H286" s="2">
        <v>150000</v>
      </c>
      <c r="I286">
        <v>0.11</v>
      </c>
      <c r="J286" s="2">
        <v>667500</v>
      </c>
    </row>
    <row r="287" spans="1:10" x14ac:dyDescent="0.25">
      <c r="A287" t="s">
        <v>360</v>
      </c>
      <c r="B287" s="1">
        <v>45361</v>
      </c>
      <c r="C287" t="s">
        <v>341</v>
      </c>
      <c r="D287" t="s">
        <v>51</v>
      </c>
      <c r="E287" t="s">
        <v>879</v>
      </c>
      <c r="F287" t="s">
        <v>28</v>
      </c>
      <c r="G287" s="2">
        <v>1</v>
      </c>
      <c r="H287" s="2">
        <v>150000</v>
      </c>
      <c r="I287">
        <v>0.02</v>
      </c>
      <c r="J287" s="2">
        <v>147000</v>
      </c>
    </row>
    <row r="288" spans="1:10" x14ac:dyDescent="0.25">
      <c r="A288" t="s">
        <v>361</v>
      </c>
      <c r="B288" s="1">
        <v>45405</v>
      </c>
      <c r="C288" t="s">
        <v>341</v>
      </c>
      <c r="D288" t="s">
        <v>47</v>
      </c>
      <c r="E288" t="s">
        <v>880</v>
      </c>
      <c r="F288" t="s">
        <v>37</v>
      </c>
      <c r="G288" s="2">
        <v>1</v>
      </c>
      <c r="H288" s="2">
        <v>200000</v>
      </c>
      <c r="I288">
        <v>0.01</v>
      </c>
      <c r="J288" s="2">
        <v>198000</v>
      </c>
    </row>
    <row r="289" spans="1:10" x14ac:dyDescent="0.25">
      <c r="A289" t="s">
        <v>362</v>
      </c>
      <c r="B289" s="1">
        <v>45391</v>
      </c>
      <c r="C289" t="s">
        <v>341</v>
      </c>
      <c r="D289" t="s">
        <v>35</v>
      </c>
      <c r="E289" t="s">
        <v>880</v>
      </c>
      <c r="F289" t="s">
        <v>54</v>
      </c>
      <c r="G289" s="2">
        <v>5</v>
      </c>
      <c r="H289" s="2">
        <v>45000</v>
      </c>
      <c r="I289">
        <v>0.02</v>
      </c>
      <c r="J289" s="2">
        <v>220500</v>
      </c>
    </row>
    <row r="290" spans="1:10" x14ac:dyDescent="0.25">
      <c r="A290" t="s">
        <v>363</v>
      </c>
      <c r="B290" s="1">
        <v>45392</v>
      </c>
      <c r="C290" t="s">
        <v>341</v>
      </c>
      <c r="D290" t="s">
        <v>30</v>
      </c>
      <c r="E290" t="s">
        <v>879</v>
      </c>
      <c r="F290" t="s">
        <v>54</v>
      </c>
      <c r="G290" s="2">
        <v>5</v>
      </c>
      <c r="H290" s="2">
        <v>60000</v>
      </c>
      <c r="I290">
        <v>0.02</v>
      </c>
      <c r="J290" s="2">
        <v>294000</v>
      </c>
    </row>
    <row r="291" spans="1:10" x14ac:dyDescent="0.25">
      <c r="A291" t="s">
        <v>364</v>
      </c>
      <c r="B291" s="1">
        <v>45388</v>
      </c>
      <c r="C291" t="s">
        <v>341</v>
      </c>
      <c r="D291" t="s">
        <v>24</v>
      </c>
      <c r="E291" t="s">
        <v>880</v>
      </c>
      <c r="F291" t="s">
        <v>33</v>
      </c>
      <c r="G291" s="2">
        <v>5</v>
      </c>
      <c r="H291" s="2">
        <v>75000</v>
      </c>
      <c r="I291">
        <v>0.08</v>
      </c>
      <c r="J291" s="2">
        <v>345000</v>
      </c>
    </row>
    <row r="292" spans="1:10" x14ac:dyDescent="0.25">
      <c r="A292" t="s">
        <v>365</v>
      </c>
      <c r="B292" s="1">
        <v>45422</v>
      </c>
      <c r="C292" t="s">
        <v>341</v>
      </c>
      <c r="D292" t="s">
        <v>24</v>
      </c>
      <c r="E292" t="s">
        <v>880</v>
      </c>
      <c r="F292" t="s">
        <v>33</v>
      </c>
      <c r="G292" s="2">
        <v>2</v>
      </c>
      <c r="H292" s="2">
        <v>75000</v>
      </c>
      <c r="I292">
        <v>0.01</v>
      </c>
      <c r="J292" s="2">
        <v>148500</v>
      </c>
    </row>
    <row r="293" spans="1:10" x14ac:dyDescent="0.25">
      <c r="A293" t="s">
        <v>366</v>
      </c>
      <c r="B293" s="1">
        <v>45439</v>
      </c>
      <c r="C293" t="s">
        <v>341</v>
      </c>
      <c r="D293" t="s">
        <v>40</v>
      </c>
      <c r="E293" t="s">
        <v>877</v>
      </c>
      <c r="F293" t="s">
        <v>54</v>
      </c>
      <c r="G293" s="2">
        <v>2</v>
      </c>
      <c r="H293" s="2">
        <v>85000</v>
      </c>
      <c r="I293">
        <v>0.04</v>
      </c>
      <c r="J293" s="2">
        <v>163200</v>
      </c>
    </row>
    <row r="294" spans="1:10" x14ac:dyDescent="0.25">
      <c r="A294" t="s">
        <v>367</v>
      </c>
      <c r="B294" s="1">
        <v>45434</v>
      </c>
      <c r="C294" t="s">
        <v>341</v>
      </c>
      <c r="D294" t="s">
        <v>75</v>
      </c>
      <c r="E294" t="s">
        <v>878</v>
      </c>
      <c r="F294" t="s">
        <v>33</v>
      </c>
      <c r="G294" s="2">
        <v>2</v>
      </c>
      <c r="H294" s="2">
        <v>120000</v>
      </c>
      <c r="I294">
        <v>0.09</v>
      </c>
      <c r="J294" s="2">
        <v>218400</v>
      </c>
    </row>
    <row r="295" spans="1:10" x14ac:dyDescent="0.25">
      <c r="A295" t="s">
        <v>368</v>
      </c>
      <c r="B295" s="1">
        <v>45426</v>
      </c>
      <c r="C295" t="s">
        <v>341</v>
      </c>
      <c r="D295" t="s">
        <v>60</v>
      </c>
      <c r="E295" t="s">
        <v>877</v>
      </c>
      <c r="F295" t="s">
        <v>37</v>
      </c>
      <c r="G295" s="2">
        <v>5</v>
      </c>
      <c r="H295" s="2">
        <v>95000</v>
      </c>
      <c r="I295">
        <v>0.11</v>
      </c>
      <c r="J295" s="2">
        <v>422800</v>
      </c>
    </row>
    <row r="296" spans="1:10" x14ac:dyDescent="0.25">
      <c r="A296" t="s">
        <v>369</v>
      </c>
      <c r="B296" s="1">
        <v>45418</v>
      </c>
      <c r="C296" t="s">
        <v>341</v>
      </c>
      <c r="D296" t="s">
        <v>35</v>
      </c>
      <c r="E296" t="s">
        <v>877</v>
      </c>
      <c r="F296" t="s">
        <v>37</v>
      </c>
      <c r="G296" s="2">
        <v>1</v>
      </c>
      <c r="H296" s="2">
        <v>45000</v>
      </c>
      <c r="I296">
        <v>0.01</v>
      </c>
      <c r="J296" s="2">
        <v>44600</v>
      </c>
    </row>
    <row r="297" spans="1:10" x14ac:dyDescent="0.25">
      <c r="A297" t="s">
        <v>370</v>
      </c>
      <c r="B297" s="1">
        <v>45467</v>
      </c>
      <c r="C297" t="s">
        <v>341</v>
      </c>
      <c r="D297" t="s">
        <v>51</v>
      </c>
      <c r="E297" t="s">
        <v>878</v>
      </c>
      <c r="F297" t="s">
        <v>37</v>
      </c>
      <c r="G297" s="2">
        <v>3</v>
      </c>
      <c r="H297" s="2">
        <v>150000</v>
      </c>
      <c r="I297">
        <v>0.11</v>
      </c>
      <c r="J297" s="2">
        <v>400500</v>
      </c>
    </row>
    <row r="298" spans="1:10" x14ac:dyDescent="0.25">
      <c r="A298" t="s">
        <v>371</v>
      </c>
      <c r="B298" s="1">
        <v>45445</v>
      </c>
      <c r="C298" t="s">
        <v>341</v>
      </c>
      <c r="D298" t="s">
        <v>24</v>
      </c>
      <c r="E298" t="s">
        <v>878</v>
      </c>
      <c r="F298" t="s">
        <v>33</v>
      </c>
      <c r="G298" s="2">
        <v>2</v>
      </c>
      <c r="H298" s="2">
        <v>75000</v>
      </c>
      <c r="I298">
        <v>0.05</v>
      </c>
      <c r="J298" s="2">
        <v>142500</v>
      </c>
    </row>
    <row r="299" spans="1:10" x14ac:dyDescent="0.25">
      <c r="A299" t="s">
        <v>372</v>
      </c>
      <c r="B299" s="1">
        <v>45451</v>
      </c>
      <c r="C299" t="s">
        <v>341</v>
      </c>
      <c r="D299" t="s">
        <v>40</v>
      </c>
      <c r="E299" t="s">
        <v>880</v>
      </c>
      <c r="F299" t="s">
        <v>37</v>
      </c>
      <c r="G299" s="2">
        <v>2</v>
      </c>
      <c r="H299" s="2">
        <v>85000</v>
      </c>
      <c r="I299">
        <v>0.06</v>
      </c>
      <c r="J299" s="2">
        <v>159800</v>
      </c>
    </row>
    <row r="300" spans="1:10" x14ac:dyDescent="0.25">
      <c r="A300" t="s">
        <v>373</v>
      </c>
      <c r="B300" s="1">
        <v>45470</v>
      </c>
      <c r="C300" t="s">
        <v>341</v>
      </c>
      <c r="D300" t="s">
        <v>24</v>
      </c>
      <c r="E300" t="s">
        <v>878</v>
      </c>
      <c r="F300" t="s">
        <v>54</v>
      </c>
      <c r="G300" s="2">
        <v>2</v>
      </c>
      <c r="H300" s="2">
        <v>75000</v>
      </c>
      <c r="I300">
        <v>0.08</v>
      </c>
      <c r="J300" s="2">
        <v>138000</v>
      </c>
    </row>
    <row r="301" spans="1:10" x14ac:dyDescent="0.25">
      <c r="A301" t="s">
        <v>374</v>
      </c>
      <c r="B301" s="1">
        <v>45467</v>
      </c>
      <c r="C301" t="s">
        <v>341</v>
      </c>
      <c r="D301" t="s">
        <v>75</v>
      </c>
      <c r="E301" t="s">
        <v>879</v>
      </c>
      <c r="F301" t="s">
        <v>54</v>
      </c>
      <c r="G301" s="2">
        <v>4</v>
      </c>
      <c r="H301" s="2">
        <v>120000</v>
      </c>
      <c r="I301">
        <v>0.08</v>
      </c>
      <c r="J301" s="2">
        <v>441600</v>
      </c>
    </row>
    <row r="302" spans="1:10" x14ac:dyDescent="0.25">
      <c r="A302" t="s">
        <v>375</v>
      </c>
      <c r="B302" s="1">
        <v>45468</v>
      </c>
      <c r="C302" t="s">
        <v>341</v>
      </c>
      <c r="D302" t="s">
        <v>35</v>
      </c>
      <c r="E302" t="s">
        <v>877</v>
      </c>
      <c r="F302" t="s">
        <v>28</v>
      </c>
      <c r="G302" s="2">
        <v>3</v>
      </c>
      <c r="H302" s="2">
        <v>45000</v>
      </c>
      <c r="I302">
        <v>0.11</v>
      </c>
      <c r="J302" s="2">
        <v>120200</v>
      </c>
    </row>
    <row r="303" spans="1:10" x14ac:dyDescent="0.25">
      <c r="A303" t="s">
        <v>376</v>
      </c>
      <c r="B303" s="1">
        <v>45446</v>
      </c>
      <c r="C303" t="s">
        <v>341</v>
      </c>
      <c r="D303" t="s">
        <v>24</v>
      </c>
      <c r="E303" t="s">
        <v>880</v>
      </c>
      <c r="F303" t="s">
        <v>28</v>
      </c>
      <c r="G303" s="2">
        <v>2</v>
      </c>
      <c r="H303" s="2">
        <v>75000</v>
      </c>
      <c r="I303">
        <v>0.09</v>
      </c>
      <c r="J303" s="2">
        <v>136500</v>
      </c>
    </row>
    <row r="304" spans="1:10" x14ac:dyDescent="0.25">
      <c r="A304" t="s">
        <v>377</v>
      </c>
      <c r="B304" s="1">
        <v>45496</v>
      </c>
      <c r="C304" t="s">
        <v>341</v>
      </c>
      <c r="D304" t="s">
        <v>60</v>
      </c>
      <c r="E304" t="s">
        <v>880</v>
      </c>
      <c r="F304" t="s">
        <v>54</v>
      </c>
      <c r="G304" s="2">
        <v>2</v>
      </c>
      <c r="H304" s="2">
        <v>95000</v>
      </c>
      <c r="I304">
        <v>0.01</v>
      </c>
      <c r="J304" s="2">
        <v>188100</v>
      </c>
    </row>
    <row r="305" spans="1:10" x14ac:dyDescent="0.25">
      <c r="A305" t="s">
        <v>378</v>
      </c>
      <c r="B305" s="1">
        <v>45485</v>
      </c>
      <c r="C305" t="s">
        <v>341</v>
      </c>
      <c r="D305" t="s">
        <v>24</v>
      </c>
      <c r="E305" t="s">
        <v>880</v>
      </c>
      <c r="F305" t="s">
        <v>54</v>
      </c>
      <c r="G305" s="2">
        <v>2</v>
      </c>
      <c r="H305" s="2">
        <v>75000</v>
      </c>
      <c r="I305">
        <v>7.0000000000000007E-2</v>
      </c>
      <c r="J305" s="2">
        <v>139500</v>
      </c>
    </row>
    <row r="306" spans="1:10" x14ac:dyDescent="0.25">
      <c r="A306" t="s">
        <v>379</v>
      </c>
      <c r="B306" s="1">
        <v>45474</v>
      </c>
      <c r="C306" t="s">
        <v>341</v>
      </c>
      <c r="D306" t="s">
        <v>40</v>
      </c>
      <c r="E306" t="s">
        <v>880</v>
      </c>
      <c r="F306" t="s">
        <v>33</v>
      </c>
      <c r="G306" s="2">
        <v>2</v>
      </c>
      <c r="H306" s="2">
        <v>85000</v>
      </c>
      <c r="I306">
        <v>0.04</v>
      </c>
      <c r="J306" s="2">
        <v>163200</v>
      </c>
    </row>
    <row r="307" spans="1:10" x14ac:dyDescent="0.25">
      <c r="A307" t="s">
        <v>380</v>
      </c>
      <c r="B307" s="1">
        <v>45487</v>
      </c>
      <c r="C307" t="s">
        <v>341</v>
      </c>
      <c r="D307" t="s">
        <v>47</v>
      </c>
      <c r="E307" t="s">
        <v>878</v>
      </c>
      <c r="F307" t="s">
        <v>33</v>
      </c>
      <c r="G307" s="2">
        <v>2</v>
      </c>
      <c r="H307" s="2">
        <v>200000</v>
      </c>
      <c r="I307">
        <v>0.09</v>
      </c>
      <c r="J307" s="2">
        <v>364000</v>
      </c>
    </row>
    <row r="308" spans="1:10" x14ac:dyDescent="0.25">
      <c r="A308" t="s">
        <v>381</v>
      </c>
      <c r="B308" s="1">
        <v>45500</v>
      </c>
      <c r="C308" t="s">
        <v>341</v>
      </c>
      <c r="D308" t="s">
        <v>24</v>
      </c>
      <c r="E308" t="s">
        <v>877</v>
      </c>
      <c r="F308" t="s">
        <v>28</v>
      </c>
      <c r="G308" s="2">
        <v>4</v>
      </c>
      <c r="H308" s="2">
        <v>75000</v>
      </c>
      <c r="I308">
        <v>0.01</v>
      </c>
      <c r="J308" s="2">
        <v>297000</v>
      </c>
    </row>
    <row r="309" spans="1:10" x14ac:dyDescent="0.25">
      <c r="A309" t="s">
        <v>382</v>
      </c>
      <c r="B309" s="1">
        <v>45493</v>
      </c>
      <c r="C309" t="s">
        <v>341</v>
      </c>
      <c r="D309" t="s">
        <v>40</v>
      </c>
      <c r="E309" t="s">
        <v>878</v>
      </c>
      <c r="F309" t="s">
        <v>37</v>
      </c>
      <c r="G309" s="2">
        <v>1</v>
      </c>
      <c r="H309" s="2">
        <v>85000</v>
      </c>
      <c r="I309">
        <v>0.09</v>
      </c>
      <c r="J309" s="2">
        <v>77400</v>
      </c>
    </row>
    <row r="310" spans="1:10" x14ac:dyDescent="0.25">
      <c r="A310" t="s">
        <v>383</v>
      </c>
      <c r="B310" s="1">
        <v>45494</v>
      </c>
      <c r="C310" t="s">
        <v>341</v>
      </c>
      <c r="D310" t="s">
        <v>47</v>
      </c>
      <c r="E310" t="s">
        <v>879</v>
      </c>
      <c r="F310" t="s">
        <v>54</v>
      </c>
      <c r="G310" s="2">
        <v>5</v>
      </c>
      <c r="H310" s="2">
        <v>200000</v>
      </c>
      <c r="I310">
        <v>0.12</v>
      </c>
      <c r="J310" s="2">
        <v>880000</v>
      </c>
    </row>
    <row r="311" spans="1:10" x14ac:dyDescent="0.25">
      <c r="A311" t="s">
        <v>384</v>
      </c>
      <c r="B311" s="1">
        <v>45481</v>
      </c>
      <c r="C311" t="s">
        <v>341</v>
      </c>
      <c r="D311" t="s">
        <v>47</v>
      </c>
      <c r="E311" t="s">
        <v>878</v>
      </c>
      <c r="F311" t="s">
        <v>54</v>
      </c>
      <c r="G311" s="2">
        <v>1</v>
      </c>
      <c r="H311" s="2">
        <v>200000</v>
      </c>
      <c r="I311">
        <v>0.02</v>
      </c>
      <c r="J311" s="2">
        <v>196000</v>
      </c>
    </row>
    <row r="312" spans="1:10" x14ac:dyDescent="0.25">
      <c r="A312" t="s">
        <v>385</v>
      </c>
      <c r="B312" s="1">
        <v>45526</v>
      </c>
      <c r="C312" t="s">
        <v>341</v>
      </c>
      <c r="D312" t="s">
        <v>51</v>
      </c>
      <c r="E312" t="s">
        <v>880</v>
      </c>
      <c r="F312" t="s">
        <v>28</v>
      </c>
      <c r="G312" s="2">
        <v>3</v>
      </c>
      <c r="H312" s="2">
        <v>150000</v>
      </c>
      <c r="I312">
        <v>0.06</v>
      </c>
      <c r="J312" s="2">
        <v>423000</v>
      </c>
    </row>
    <row r="313" spans="1:10" x14ac:dyDescent="0.25">
      <c r="A313" t="s">
        <v>386</v>
      </c>
      <c r="B313" s="1">
        <v>45511</v>
      </c>
      <c r="C313" t="s">
        <v>341</v>
      </c>
      <c r="D313" t="s">
        <v>24</v>
      </c>
      <c r="E313" t="s">
        <v>879</v>
      </c>
      <c r="F313" t="s">
        <v>37</v>
      </c>
      <c r="G313" s="2">
        <v>4</v>
      </c>
      <c r="H313" s="2">
        <v>75000</v>
      </c>
      <c r="I313">
        <v>0.1</v>
      </c>
      <c r="J313" s="2">
        <v>270000</v>
      </c>
    </row>
    <row r="314" spans="1:10" x14ac:dyDescent="0.25">
      <c r="A314" t="s">
        <v>387</v>
      </c>
      <c r="B314" s="1">
        <v>45511</v>
      </c>
      <c r="C314" t="s">
        <v>341</v>
      </c>
      <c r="D314" t="s">
        <v>40</v>
      </c>
      <c r="E314" t="s">
        <v>880</v>
      </c>
      <c r="F314" t="s">
        <v>33</v>
      </c>
      <c r="G314" s="2">
        <v>1</v>
      </c>
      <c r="H314" s="2">
        <v>85000</v>
      </c>
      <c r="I314">
        <v>0.1</v>
      </c>
      <c r="J314" s="2">
        <v>76500</v>
      </c>
    </row>
    <row r="315" spans="1:10" x14ac:dyDescent="0.25">
      <c r="A315" t="s">
        <v>388</v>
      </c>
      <c r="B315" s="1">
        <v>45528</v>
      </c>
      <c r="C315" t="s">
        <v>341</v>
      </c>
      <c r="D315" t="s">
        <v>47</v>
      </c>
      <c r="E315" t="s">
        <v>880</v>
      </c>
      <c r="F315" t="s">
        <v>33</v>
      </c>
      <c r="G315" s="2">
        <v>1</v>
      </c>
      <c r="H315" s="2">
        <v>200000</v>
      </c>
      <c r="I315">
        <v>0.08</v>
      </c>
      <c r="J315" s="2">
        <v>184000</v>
      </c>
    </row>
    <row r="316" spans="1:10" x14ac:dyDescent="0.25">
      <c r="A316" t="s">
        <v>389</v>
      </c>
      <c r="B316" s="1">
        <v>45516</v>
      </c>
      <c r="C316" t="s">
        <v>341</v>
      </c>
      <c r="D316" t="s">
        <v>51</v>
      </c>
      <c r="E316" t="s">
        <v>877</v>
      </c>
      <c r="F316" t="s">
        <v>33</v>
      </c>
      <c r="G316" s="2">
        <v>3</v>
      </c>
      <c r="H316" s="2">
        <v>150000</v>
      </c>
      <c r="I316">
        <v>0.1</v>
      </c>
      <c r="J316" s="2">
        <v>405000</v>
      </c>
    </row>
    <row r="317" spans="1:10" x14ac:dyDescent="0.25">
      <c r="A317" t="s">
        <v>390</v>
      </c>
      <c r="B317" s="1">
        <v>45546</v>
      </c>
      <c r="C317" t="s">
        <v>341</v>
      </c>
      <c r="D317" t="s">
        <v>60</v>
      </c>
      <c r="E317" t="s">
        <v>877</v>
      </c>
      <c r="F317" t="s">
        <v>28</v>
      </c>
      <c r="G317" s="2">
        <v>2</v>
      </c>
      <c r="H317" s="2">
        <v>95000</v>
      </c>
      <c r="I317">
        <v>0.03</v>
      </c>
      <c r="J317" s="2">
        <v>184300</v>
      </c>
    </row>
    <row r="318" spans="1:10" x14ac:dyDescent="0.25">
      <c r="A318" t="s">
        <v>391</v>
      </c>
      <c r="B318" s="1">
        <v>45548</v>
      </c>
      <c r="C318" t="s">
        <v>341</v>
      </c>
      <c r="D318" t="s">
        <v>75</v>
      </c>
      <c r="E318" t="s">
        <v>880</v>
      </c>
      <c r="F318" t="s">
        <v>28</v>
      </c>
      <c r="G318" s="2">
        <v>3</v>
      </c>
      <c r="H318" s="2">
        <v>120000</v>
      </c>
      <c r="I318">
        <v>7.0000000000000007E-2</v>
      </c>
      <c r="J318" s="2">
        <v>334800</v>
      </c>
    </row>
    <row r="319" spans="1:10" x14ac:dyDescent="0.25">
      <c r="A319" t="s">
        <v>392</v>
      </c>
      <c r="B319" s="1">
        <v>45538</v>
      </c>
      <c r="C319" t="s">
        <v>341</v>
      </c>
      <c r="D319" t="s">
        <v>35</v>
      </c>
      <c r="E319" t="s">
        <v>879</v>
      </c>
      <c r="F319" t="s">
        <v>33</v>
      </c>
      <c r="G319" s="2">
        <v>4</v>
      </c>
      <c r="H319" s="2">
        <v>45000</v>
      </c>
      <c r="I319">
        <v>0.08</v>
      </c>
      <c r="J319" s="2">
        <v>165600</v>
      </c>
    </row>
    <row r="320" spans="1:10" x14ac:dyDescent="0.25">
      <c r="A320" t="s">
        <v>393</v>
      </c>
      <c r="B320" s="1">
        <v>45547</v>
      </c>
      <c r="C320" t="s">
        <v>341</v>
      </c>
      <c r="D320" t="s">
        <v>60</v>
      </c>
      <c r="E320" t="s">
        <v>879</v>
      </c>
      <c r="F320" t="s">
        <v>33</v>
      </c>
      <c r="G320" s="2">
        <v>2</v>
      </c>
      <c r="H320" s="2">
        <v>95000</v>
      </c>
      <c r="I320">
        <v>0.06</v>
      </c>
      <c r="J320" s="2">
        <v>178600</v>
      </c>
    </row>
    <row r="321" spans="1:10" x14ac:dyDescent="0.25">
      <c r="A321" t="s">
        <v>394</v>
      </c>
      <c r="B321" s="1">
        <v>45557</v>
      </c>
      <c r="C321" t="s">
        <v>341</v>
      </c>
      <c r="D321" t="s">
        <v>30</v>
      </c>
      <c r="E321" t="s">
        <v>879</v>
      </c>
      <c r="F321" t="s">
        <v>28</v>
      </c>
      <c r="G321" s="2">
        <v>1</v>
      </c>
      <c r="H321" s="2">
        <v>60000</v>
      </c>
      <c r="I321">
        <v>0.02</v>
      </c>
      <c r="J321" s="2">
        <v>58800</v>
      </c>
    </row>
    <row r="322" spans="1:10" x14ac:dyDescent="0.25">
      <c r="A322" t="s">
        <v>395</v>
      </c>
      <c r="B322" s="1">
        <v>45568</v>
      </c>
      <c r="C322" t="s">
        <v>341</v>
      </c>
      <c r="D322" t="s">
        <v>24</v>
      </c>
      <c r="E322" t="s">
        <v>879</v>
      </c>
      <c r="F322" t="s">
        <v>37</v>
      </c>
      <c r="G322" s="2">
        <v>1</v>
      </c>
      <c r="H322" s="2">
        <v>75000</v>
      </c>
      <c r="I322">
        <v>0.1</v>
      </c>
      <c r="J322" s="2">
        <v>67500</v>
      </c>
    </row>
    <row r="323" spans="1:10" x14ac:dyDescent="0.25">
      <c r="A323" t="s">
        <v>396</v>
      </c>
      <c r="B323" s="1">
        <v>45570</v>
      </c>
      <c r="C323" t="s">
        <v>341</v>
      </c>
      <c r="D323" t="s">
        <v>40</v>
      </c>
      <c r="E323" t="s">
        <v>879</v>
      </c>
      <c r="F323" t="s">
        <v>37</v>
      </c>
      <c r="G323" s="2">
        <v>1</v>
      </c>
      <c r="H323" s="2">
        <v>85000</v>
      </c>
      <c r="I323">
        <v>0.1</v>
      </c>
      <c r="J323" s="2">
        <v>76500</v>
      </c>
    </row>
    <row r="324" spans="1:10" x14ac:dyDescent="0.25">
      <c r="A324" t="s">
        <v>397</v>
      </c>
      <c r="B324" s="1">
        <v>45585</v>
      </c>
      <c r="C324" t="s">
        <v>341</v>
      </c>
      <c r="D324" t="s">
        <v>60</v>
      </c>
      <c r="E324" t="s">
        <v>879</v>
      </c>
      <c r="F324" t="s">
        <v>28</v>
      </c>
      <c r="G324" s="2">
        <v>1</v>
      </c>
      <c r="H324" s="2">
        <v>95000</v>
      </c>
      <c r="I324">
        <v>0.05</v>
      </c>
      <c r="J324" s="2">
        <v>90200</v>
      </c>
    </row>
    <row r="325" spans="1:10" x14ac:dyDescent="0.25">
      <c r="A325" t="s">
        <v>398</v>
      </c>
      <c r="B325" s="1">
        <v>45570</v>
      </c>
      <c r="C325" t="s">
        <v>341</v>
      </c>
      <c r="D325" t="s">
        <v>24</v>
      </c>
      <c r="E325" t="s">
        <v>877</v>
      </c>
      <c r="F325" t="s">
        <v>37</v>
      </c>
      <c r="G325" s="2">
        <v>5</v>
      </c>
      <c r="H325" s="2">
        <v>75000</v>
      </c>
      <c r="I325">
        <v>0</v>
      </c>
      <c r="J325" s="2">
        <v>375000</v>
      </c>
    </row>
    <row r="326" spans="1:10" x14ac:dyDescent="0.25">
      <c r="A326" t="s">
        <v>399</v>
      </c>
      <c r="B326" s="1">
        <v>45598</v>
      </c>
      <c r="C326" t="s">
        <v>341</v>
      </c>
      <c r="D326" t="s">
        <v>60</v>
      </c>
      <c r="E326" t="s">
        <v>880</v>
      </c>
      <c r="F326" t="s">
        <v>54</v>
      </c>
      <c r="G326" s="2">
        <v>2</v>
      </c>
      <c r="H326" s="2">
        <v>95000</v>
      </c>
      <c r="I326">
        <v>0.01</v>
      </c>
      <c r="J326" s="2">
        <v>188100</v>
      </c>
    </row>
    <row r="327" spans="1:10" x14ac:dyDescent="0.25">
      <c r="A327" t="s">
        <v>400</v>
      </c>
      <c r="B327" s="1">
        <v>45605</v>
      </c>
      <c r="C327" t="s">
        <v>341</v>
      </c>
      <c r="D327" t="s">
        <v>30</v>
      </c>
      <c r="E327" t="s">
        <v>877</v>
      </c>
      <c r="F327" t="s">
        <v>54</v>
      </c>
      <c r="G327" s="2">
        <v>5</v>
      </c>
      <c r="H327" s="2">
        <v>60000</v>
      </c>
      <c r="I327">
        <v>0.08</v>
      </c>
      <c r="J327" s="2">
        <v>276000</v>
      </c>
    </row>
    <row r="328" spans="1:10" x14ac:dyDescent="0.25">
      <c r="A328" t="s">
        <v>401</v>
      </c>
      <c r="B328" s="1">
        <v>45614</v>
      </c>
      <c r="C328" t="s">
        <v>341</v>
      </c>
      <c r="D328" t="s">
        <v>40</v>
      </c>
      <c r="E328" t="s">
        <v>878</v>
      </c>
      <c r="F328" t="s">
        <v>28</v>
      </c>
      <c r="G328" s="2">
        <v>3</v>
      </c>
      <c r="H328" s="2">
        <v>85000</v>
      </c>
      <c r="I328">
        <v>0.04</v>
      </c>
      <c r="J328" s="2">
        <v>244800</v>
      </c>
    </row>
    <row r="329" spans="1:10" x14ac:dyDescent="0.25">
      <c r="A329" t="s">
        <v>402</v>
      </c>
      <c r="B329" s="1">
        <v>45615</v>
      </c>
      <c r="C329" t="s">
        <v>341</v>
      </c>
      <c r="D329" t="s">
        <v>75</v>
      </c>
      <c r="E329" t="s">
        <v>877</v>
      </c>
      <c r="F329" t="s">
        <v>37</v>
      </c>
      <c r="G329" s="2">
        <v>2</v>
      </c>
      <c r="H329" s="2">
        <v>120000</v>
      </c>
      <c r="I329">
        <v>0.09</v>
      </c>
      <c r="J329" s="2">
        <v>218400</v>
      </c>
    </row>
    <row r="330" spans="1:10" x14ac:dyDescent="0.25">
      <c r="A330" t="s">
        <v>403</v>
      </c>
      <c r="B330" s="1">
        <v>45597</v>
      </c>
      <c r="C330" t="s">
        <v>341</v>
      </c>
      <c r="D330" t="s">
        <v>60</v>
      </c>
      <c r="E330" t="s">
        <v>878</v>
      </c>
      <c r="F330" t="s">
        <v>54</v>
      </c>
      <c r="G330" s="2">
        <v>5</v>
      </c>
      <c r="H330" s="2">
        <v>95000</v>
      </c>
      <c r="I330">
        <v>0.11</v>
      </c>
      <c r="J330" s="2">
        <v>422800</v>
      </c>
    </row>
    <row r="331" spans="1:10" x14ac:dyDescent="0.25">
      <c r="A331" t="s">
        <v>404</v>
      </c>
      <c r="B331" s="1">
        <v>45649</v>
      </c>
      <c r="C331" t="s">
        <v>341</v>
      </c>
      <c r="D331" t="s">
        <v>30</v>
      </c>
      <c r="E331" t="s">
        <v>877</v>
      </c>
      <c r="F331" t="s">
        <v>28</v>
      </c>
      <c r="G331" s="2">
        <v>1</v>
      </c>
      <c r="H331" s="2">
        <v>60000</v>
      </c>
      <c r="I331">
        <v>0.04</v>
      </c>
      <c r="J331" s="2">
        <v>57600</v>
      </c>
    </row>
    <row r="332" spans="1:10" x14ac:dyDescent="0.25">
      <c r="A332" t="s">
        <v>405</v>
      </c>
      <c r="B332" s="1">
        <v>45630</v>
      </c>
      <c r="C332" t="s">
        <v>341</v>
      </c>
      <c r="D332" t="s">
        <v>40</v>
      </c>
      <c r="E332" t="s">
        <v>879</v>
      </c>
      <c r="F332" t="s">
        <v>33</v>
      </c>
      <c r="G332" s="2">
        <v>4</v>
      </c>
      <c r="H332" s="2">
        <v>85000</v>
      </c>
      <c r="I332">
        <v>0</v>
      </c>
      <c r="J332" s="2">
        <v>340000</v>
      </c>
    </row>
    <row r="333" spans="1:10" x14ac:dyDescent="0.25">
      <c r="A333" t="s">
        <v>406</v>
      </c>
      <c r="B333" s="1">
        <v>45630</v>
      </c>
      <c r="C333" t="s">
        <v>341</v>
      </c>
      <c r="D333" t="s">
        <v>51</v>
      </c>
      <c r="E333" t="s">
        <v>877</v>
      </c>
      <c r="F333" t="s">
        <v>33</v>
      </c>
      <c r="G333" s="2">
        <v>4</v>
      </c>
      <c r="H333" s="2">
        <v>150000</v>
      </c>
      <c r="I333">
        <v>0.01</v>
      </c>
      <c r="J333" s="2">
        <v>594000</v>
      </c>
    </row>
    <row r="334" spans="1:10" x14ac:dyDescent="0.25">
      <c r="A334" t="s">
        <v>407</v>
      </c>
      <c r="B334" s="1">
        <v>45653</v>
      </c>
      <c r="C334" t="s">
        <v>341</v>
      </c>
      <c r="D334" t="s">
        <v>40</v>
      </c>
      <c r="E334" t="s">
        <v>878</v>
      </c>
      <c r="F334" t="s">
        <v>37</v>
      </c>
      <c r="G334" s="2">
        <v>4</v>
      </c>
      <c r="H334" s="2">
        <v>85000</v>
      </c>
      <c r="I334">
        <v>0.12</v>
      </c>
      <c r="J334" s="2">
        <v>299200</v>
      </c>
    </row>
    <row r="335" spans="1:10" x14ac:dyDescent="0.25">
      <c r="A335" t="s">
        <v>408</v>
      </c>
      <c r="B335" s="1">
        <v>45627</v>
      </c>
      <c r="C335" t="s">
        <v>341</v>
      </c>
      <c r="D335" t="s">
        <v>35</v>
      </c>
      <c r="E335" t="s">
        <v>879</v>
      </c>
      <c r="F335" t="s">
        <v>28</v>
      </c>
      <c r="G335" s="2">
        <v>2</v>
      </c>
      <c r="H335" s="2">
        <v>45000</v>
      </c>
      <c r="I335">
        <v>7.0000000000000007E-2</v>
      </c>
      <c r="J335" s="2">
        <v>83700</v>
      </c>
    </row>
    <row r="336" spans="1:10" x14ac:dyDescent="0.25">
      <c r="A336" t="s">
        <v>409</v>
      </c>
      <c r="B336" s="1">
        <v>45654</v>
      </c>
      <c r="C336" t="s">
        <v>341</v>
      </c>
      <c r="D336" t="s">
        <v>30</v>
      </c>
      <c r="E336" t="s">
        <v>880</v>
      </c>
      <c r="F336" t="s">
        <v>54</v>
      </c>
      <c r="G336" s="2">
        <v>4</v>
      </c>
      <c r="H336" s="2">
        <v>60000</v>
      </c>
      <c r="I336">
        <v>0.12</v>
      </c>
      <c r="J336" s="2">
        <v>211200</v>
      </c>
    </row>
    <row r="337" spans="1:10" x14ac:dyDescent="0.25">
      <c r="A337" t="s">
        <v>410</v>
      </c>
      <c r="B337" s="1">
        <v>45644</v>
      </c>
      <c r="C337" t="s">
        <v>341</v>
      </c>
      <c r="D337" t="s">
        <v>40</v>
      </c>
      <c r="E337" t="s">
        <v>878</v>
      </c>
      <c r="F337" t="s">
        <v>28</v>
      </c>
      <c r="G337" s="2">
        <v>5</v>
      </c>
      <c r="H337" s="2">
        <v>85000</v>
      </c>
      <c r="I337">
        <v>0.1</v>
      </c>
      <c r="J337" s="2">
        <v>382500</v>
      </c>
    </row>
    <row r="338" spans="1:10" x14ac:dyDescent="0.25">
      <c r="A338" t="s">
        <v>411</v>
      </c>
      <c r="B338" s="1">
        <v>45314</v>
      </c>
      <c r="C338" t="s">
        <v>412</v>
      </c>
      <c r="D338" t="s">
        <v>47</v>
      </c>
      <c r="E338" t="s">
        <v>878</v>
      </c>
      <c r="F338" t="s">
        <v>54</v>
      </c>
      <c r="G338" s="2">
        <v>4</v>
      </c>
      <c r="H338" s="2">
        <v>200000</v>
      </c>
      <c r="I338">
        <v>0.05</v>
      </c>
      <c r="J338" s="2">
        <v>760000</v>
      </c>
    </row>
    <row r="339" spans="1:10" x14ac:dyDescent="0.25">
      <c r="A339" t="s">
        <v>415</v>
      </c>
      <c r="B339" s="1">
        <v>45294</v>
      </c>
      <c r="C339" t="s">
        <v>412</v>
      </c>
      <c r="D339" t="s">
        <v>51</v>
      </c>
      <c r="E339" t="s">
        <v>879</v>
      </c>
      <c r="F339" t="s">
        <v>28</v>
      </c>
      <c r="G339" s="2">
        <v>5</v>
      </c>
      <c r="H339" s="2">
        <v>150000</v>
      </c>
      <c r="I339">
        <v>0.11</v>
      </c>
      <c r="J339" s="2">
        <v>667500</v>
      </c>
    </row>
    <row r="340" spans="1:10" x14ac:dyDescent="0.25">
      <c r="A340" t="s">
        <v>416</v>
      </c>
      <c r="B340" s="1">
        <v>45301</v>
      </c>
      <c r="C340" t="s">
        <v>412</v>
      </c>
      <c r="D340" t="s">
        <v>47</v>
      </c>
      <c r="E340" t="s">
        <v>877</v>
      </c>
      <c r="F340" t="s">
        <v>28</v>
      </c>
      <c r="G340" s="2">
        <v>5</v>
      </c>
      <c r="H340" s="2">
        <v>200000</v>
      </c>
      <c r="I340">
        <v>0.04</v>
      </c>
      <c r="J340" s="2">
        <v>960000</v>
      </c>
    </row>
    <row r="341" spans="1:10" x14ac:dyDescent="0.25">
      <c r="A341" t="s">
        <v>417</v>
      </c>
      <c r="B341" s="1">
        <v>45310</v>
      </c>
      <c r="C341" t="s">
        <v>412</v>
      </c>
      <c r="D341" t="s">
        <v>35</v>
      </c>
      <c r="E341" t="s">
        <v>879</v>
      </c>
      <c r="F341" t="s">
        <v>28</v>
      </c>
      <c r="G341" s="2">
        <v>1</v>
      </c>
      <c r="H341" s="2">
        <v>45000</v>
      </c>
      <c r="I341">
        <v>0.08</v>
      </c>
      <c r="J341" s="2">
        <v>41400</v>
      </c>
    </row>
    <row r="342" spans="1:10" x14ac:dyDescent="0.25">
      <c r="A342" t="s">
        <v>418</v>
      </c>
      <c r="B342" s="1">
        <v>45318</v>
      </c>
      <c r="C342" t="s">
        <v>412</v>
      </c>
      <c r="D342" t="s">
        <v>40</v>
      </c>
      <c r="E342" t="s">
        <v>880</v>
      </c>
      <c r="F342" t="s">
        <v>37</v>
      </c>
      <c r="G342" s="2">
        <v>2</v>
      </c>
      <c r="H342" s="2">
        <v>85000</v>
      </c>
      <c r="I342">
        <v>0.05</v>
      </c>
      <c r="J342" s="2">
        <v>161500</v>
      </c>
    </row>
    <row r="343" spans="1:10" x14ac:dyDescent="0.25">
      <c r="A343" t="s">
        <v>419</v>
      </c>
      <c r="B343" s="1">
        <v>45331</v>
      </c>
      <c r="C343" t="s">
        <v>412</v>
      </c>
      <c r="D343" t="s">
        <v>47</v>
      </c>
      <c r="E343" t="s">
        <v>880</v>
      </c>
      <c r="F343" t="s">
        <v>33</v>
      </c>
      <c r="G343" s="2">
        <v>3</v>
      </c>
      <c r="H343" s="2">
        <v>200000</v>
      </c>
      <c r="I343">
        <v>0.06</v>
      </c>
      <c r="J343" s="2">
        <v>564000</v>
      </c>
    </row>
    <row r="344" spans="1:10" x14ac:dyDescent="0.25">
      <c r="A344" t="s">
        <v>420</v>
      </c>
      <c r="B344" s="1">
        <v>45330</v>
      </c>
      <c r="C344" t="s">
        <v>412</v>
      </c>
      <c r="D344" t="s">
        <v>47</v>
      </c>
      <c r="E344" t="s">
        <v>879</v>
      </c>
      <c r="F344" t="s">
        <v>33</v>
      </c>
      <c r="G344" s="2">
        <v>3</v>
      </c>
      <c r="H344" s="2">
        <v>200000</v>
      </c>
      <c r="I344">
        <v>7.0000000000000007E-2</v>
      </c>
      <c r="J344" s="2">
        <v>558000</v>
      </c>
    </row>
    <row r="345" spans="1:10" x14ac:dyDescent="0.25">
      <c r="A345" t="s">
        <v>421</v>
      </c>
      <c r="B345" s="1">
        <v>45350</v>
      </c>
      <c r="C345" t="s">
        <v>412</v>
      </c>
      <c r="D345" t="s">
        <v>51</v>
      </c>
      <c r="E345" t="s">
        <v>880</v>
      </c>
      <c r="F345" t="s">
        <v>54</v>
      </c>
      <c r="G345" s="2">
        <v>4</v>
      </c>
      <c r="H345" s="2">
        <v>150000</v>
      </c>
      <c r="I345">
        <v>0.03</v>
      </c>
      <c r="J345" s="2">
        <v>582000</v>
      </c>
    </row>
    <row r="346" spans="1:10" x14ac:dyDescent="0.25">
      <c r="A346" t="s">
        <v>422</v>
      </c>
      <c r="B346" s="1">
        <v>45340</v>
      </c>
      <c r="C346" t="s">
        <v>412</v>
      </c>
      <c r="D346" t="s">
        <v>30</v>
      </c>
      <c r="E346" t="s">
        <v>878</v>
      </c>
      <c r="F346" t="s">
        <v>33</v>
      </c>
      <c r="G346" s="2">
        <v>4</v>
      </c>
      <c r="H346" s="2">
        <v>60000</v>
      </c>
      <c r="I346">
        <v>0.03</v>
      </c>
      <c r="J346" s="2">
        <v>232800</v>
      </c>
    </row>
    <row r="347" spans="1:10" x14ac:dyDescent="0.25">
      <c r="A347" t="s">
        <v>423</v>
      </c>
      <c r="B347" s="1">
        <v>45336</v>
      </c>
      <c r="C347" t="s">
        <v>412</v>
      </c>
      <c r="D347" t="s">
        <v>75</v>
      </c>
      <c r="E347" t="s">
        <v>879</v>
      </c>
      <c r="F347" t="s">
        <v>37</v>
      </c>
      <c r="G347" s="2">
        <v>3</v>
      </c>
      <c r="H347" s="2">
        <v>120000</v>
      </c>
      <c r="I347">
        <v>0.11</v>
      </c>
      <c r="J347" s="2">
        <v>320400</v>
      </c>
    </row>
    <row r="348" spans="1:10" x14ac:dyDescent="0.25">
      <c r="A348" t="s">
        <v>424</v>
      </c>
      <c r="B348" s="1">
        <v>45378</v>
      </c>
      <c r="C348" t="s">
        <v>412</v>
      </c>
      <c r="D348" t="s">
        <v>30</v>
      </c>
      <c r="E348" t="s">
        <v>880</v>
      </c>
      <c r="F348" t="s">
        <v>33</v>
      </c>
      <c r="G348" s="2">
        <v>2</v>
      </c>
      <c r="H348" s="2">
        <v>60000</v>
      </c>
      <c r="I348">
        <v>0.11</v>
      </c>
      <c r="J348" s="2">
        <v>106800</v>
      </c>
    </row>
    <row r="349" spans="1:10" x14ac:dyDescent="0.25">
      <c r="A349" t="s">
        <v>425</v>
      </c>
      <c r="B349" s="1">
        <v>45377</v>
      </c>
      <c r="C349" t="s">
        <v>412</v>
      </c>
      <c r="D349" t="s">
        <v>30</v>
      </c>
      <c r="E349" t="s">
        <v>878</v>
      </c>
      <c r="F349" t="s">
        <v>33</v>
      </c>
      <c r="G349" s="2">
        <v>4</v>
      </c>
      <c r="H349" s="2">
        <v>60000</v>
      </c>
      <c r="I349">
        <v>0.1</v>
      </c>
      <c r="J349" s="2">
        <v>216000</v>
      </c>
    </row>
    <row r="350" spans="1:10" x14ac:dyDescent="0.25">
      <c r="A350" t="s">
        <v>426</v>
      </c>
      <c r="B350" s="1">
        <v>45365</v>
      </c>
      <c r="C350" t="s">
        <v>412</v>
      </c>
      <c r="D350" t="s">
        <v>75</v>
      </c>
      <c r="E350" t="s">
        <v>880</v>
      </c>
      <c r="F350" t="s">
        <v>33</v>
      </c>
      <c r="G350" s="2">
        <v>1</v>
      </c>
      <c r="H350" s="2">
        <v>120000</v>
      </c>
      <c r="I350">
        <v>7.0000000000000007E-2</v>
      </c>
      <c r="J350" s="2">
        <v>111600</v>
      </c>
    </row>
    <row r="351" spans="1:10" x14ac:dyDescent="0.25">
      <c r="A351" t="s">
        <v>427</v>
      </c>
      <c r="B351" s="1">
        <v>45357</v>
      </c>
      <c r="C351" t="s">
        <v>412</v>
      </c>
      <c r="D351" t="s">
        <v>60</v>
      </c>
      <c r="E351" t="s">
        <v>879</v>
      </c>
      <c r="F351" t="s">
        <v>54</v>
      </c>
      <c r="G351" s="2">
        <v>1</v>
      </c>
      <c r="H351" s="2">
        <v>95000</v>
      </c>
      <c r="I351">
        <v>0.11</v>
      </c>
      <c r="J351" s="2">
        <v>84600</v>
      </c>
    </row>
    <row r="352" spans="1:10" x14ac:dyDescent="0.25">
      <c r="A352" t="s">
        <v>428</v>
      </c>
      <c r="B352" s="1">
        <v>45363</v>
      </c>
      <c r="C352" t="s">
        <v>412</v>
      </c>
      <c r="D352" t="s">
        <v>30</v>
      </c>
      <c r="E352" t="s">
        <v>878</v>
      </c>
      <c r="F352" t="s">
        <v>54</v>
      </c>
      <c r="G352" s="2">
        <v>3</v>
      </c>
      <c r="H352" s="2">
        <v>60000</v>
      </c>
      <c r="I352">
        <v>0.11</v>
      </c>
      <c r="J352" s="2">
        <v>160200</v>
      </c>
    </row>
    <row r="353" spans="1:10" x14ac:dyDescent="0.25">
      <c r="A353" t="s">
        <v>429</v>
      </c>
      <c r="B353" s="1">
        <v>45370</v>
      </c>
      <c r="C353" t="s">
        <v>412</v>
      </c>
      <c r="D353" t="s">
        <v>35</v>
      </c>
      <c r="E353" t="s">
        <v>879</v>
      </c>
      <c r="F353" t="s">
        <v>37</v>
      </c>
      <c r="G353" s="2">
        <v>2</v>
      </c>
      <c r="H353" s="2">
        <v>45000</v>
      </c>
      <c r="I353">
        <v>0.05</v>
      </c>
      <c r="J353" s="2">
        <v>85500</v>
      </c>
    </row>
    <row r="354" spans="1:10" x14ac:dyDescent="0.25">
      <c r="A354" t="s">
        <v>430</v>
      </c>
      <c r="B354" s="1">
        <v>45388</v>
      </c>
      <c r="C354" t="s">
        <v>412</v>
      </c>
      <c r="D354" t="s">
        <v>60</v>
      </c>
      <c r="E354" t="s">
        <v>877</v>
      </c>
      <c r="F354" t="s">
        <v>54</v>
      </c>
      <c r="G354" s="2">
        <v>5</v>
      </c>
      <c r="H354" s="2">
        <v>95000</v>
      </c>
      <c r="I354">
        <v>0.11</v>
      </c>
      <c r="J354" s="2">
        <v>422800</v>
      </c>
    </row>
    <row r="355" spans="1:10" x14ac:dyDescent="0.25">
      <c r="A355" t="s">
        <v>431</v>
      </c>
      <c r="B355" s="1">
        <v>45387</v>
      </c>
      <c r="C355" t="s">
        <v>412</v>
      </c>
      <c r="D355" t="s">
        <v>24</v>
      </c>
      <c r="E355" t="s">
        <v>877</v>
      </c>
      <c r="F355" t="s">
        <v>33</v>
      </c>
      <c r="G355" s="2">
        <v>4</v>
      </c>
      <c r="H355" s="2">
        <v>75000</v>
      </c>
      <c r="I355">
        <v>0.04</v>
      </c>
      <c r="J355" s="2">
        <v>288000</v>
      </c>
    </row>
    <row r="356" spans="1:10" x14ac:dyDescent="0.25">
      <c r="A356" t="s">
        <v>432</v>
      </c>
      <c r="B356" s="1">
        <v>45393</v>
      </c>
      <c r="C356" t="s">
        <v>412</v>
      </c>
      <c r="D356" t="s">
        <v>47</v>
      </c>
      <c r="E356" t="s">
        <v>878</v>
      </c>
      <c r="F356" t="s">
        <v>54</v>
      </c>
      <c r="G356" s="2">
        <v>2</v>
      </c>
      <c r="H356" s="2">
        <v>200000</v>
      </c>
      <c r="I356">
        <v>0.01</v>
      </c>
      <c r="J356" s="2">
        <v>396000</v>
      </c>
    </row>
    <row r="357" spans="1:10" x14ac:dyDescent="0.25">
      <c r="A357" t="s">
        <v>433</v>
      </c>
      <c r="B357" s="1">
        <v>45401</v>
      </c>
      <c r="C357" t="s">
        <v>412</v>
      </c>
      <c r="D357" t="s">
        <v>75</v>
      </c>
      <c r="E357" t="s">
        <v>879</v>
      </c>
      <c r="F357" t="s">
        <v>28</v>
      </c>
      <c r="G357" s="2">
        <v>2</v>
      </c>
      <c r="H357" s="2">
        <v>120000</v>
      </c>
      <c r="I357">
        <v>0.06</v>
      </c>
      <c r="J357" s="2">
        <v>225600</v>
      </c>
    </row>
    <row r="358" spans="1:10" x14ac:dyDescent="0.25">
      <c r="A358" t="s">
        <v>434</v>
      </c>
      <c r="B358" s="1">
        <v>45430</v>
      </c>
      <c r="C358" t="s">
        <v>412</v>
      </c>
      <c r="D358" t="s">
        <v>40</v>
      </c>
      <c r="E358" t="s">
        <v>878</v>
      </c>
      <c r="F358" t="s">
        <v>54</v>
      </c>
      <c r="G358" s="2">
        <v>4</v>
      </c>
      <c r="H358" s="2">
        <v>85000</v>
      </c>
      <c r="I358">
        <v>0.1</v>
      </c>
      <c r="J358" s="2">
        <v>306000</v>
      </c>
    </row>
    <row r="359" spans="1:10" x14ac:dyDescent="0.25">
      <c r="A359" t="s">
        <v>435</v>
      </c>
      <c r="B359" s="1">
        <v>45418</v>
      </c>
      <c r="C359" t="s">
        <v>412</v>
      </c>
      <c r="D359" t="s">
        <v>24</v>
      </c>
      <c r="E359" t="s">
        <v>877</v>
      </c>
      <c r="F359" t="s">
        <v>33</v>
      </c>
      <c r="G359" s="2">
        <v>4</v>
      </c>
      <c r="H359" s="2">
        <v>75000</v>
      </c>
      <c r="I359">
        <v>0.1</v>
      </c>
      <c r="J359" s="2">
        <v>270000</v>
      </c>
    </row>
    <row r="360" spans="1:10" x14ac:dyDescent="0.25">
      <c r="A360" t="s">
        <v>436</v>
      </c>
      <c r="B360" s="1">
        <v>45468</v>
      </c>
      <c r="C360" t="s">
        <v>412</v>
      </c>
      <c r="D360" t="s">
        <v>40</v>
      </c>
      <c r="E360" t="s">
        <v>879</v>
      </c>
      <c r="F360" t="s">
        <v>37</v>
      </c>
      <c r="G360" s="2">
        <v>2</v>
      </c>
      <c r="H360" s="2">
        <v>85000</v>
      </c>
      <c r="I360">
        <v>0.06</v>
      </c>
      <c r="J360" s="2">
        <v>159800</v>
      </c>
    </row>
    <row r="361" spans="1:10" x14ac:dyDescent="0.25">
      <c r="A361" t="s">
        <v>437</v>
      </c>
      <c r="B361" s="1">
        <v>45457</v>
      </c>
      <c r="C361" t="s">
        <v>412</v>
      </c>
      <c r="D361" t="s">
        <v>24</v>
      </c>
      <c r="E361" t="s">
        <v>878</v>
      </c>
      <c r="F361" t="s">
        <v>54</v>
      </c>
      <c r="G361" s="2">
        <v>4</v>
      </c>
      <c r="H361" s="2">
        <v>75000</v>
      </c>
      <c r="I361">
        <v>0.04</v>
      </c>
      <c r="J361" s="2">
        <v>288000</v>
      </c>
    </row>
    <row r="362" spans="1:10" x14ac:dyDescent="0.25">
      <c r="A362" t="s">
        <v>438</v>
      </c>
      <c r="B362" s="1">
        <v>45462</v>
      </c>
      <c r="C362" t="s">
        <v>412</v>
      </c>
      <c r="D362" t="s">
        <v>30</v>
      </c>
      <c r="E362" t="s">
        <v>877</v>
      </c>
      <c r="F362" t="s">
        <v>28</v>
      </c>
      <c r="G362" s="2">
        <v>4</v>
      </c>
      <c r="H362" s="2">
        <v>60000</v>
      </c>
      <c r="I362">
        <v>0.09</v>
      </c>
      <c r="J362" s="2">
        <v>218400</v>
      </c>
    </row>
    <row r="363" spans="1:10" x14ac:dyDescent="0.25">
      <c r="A363" t="s">
        <v>439</v>
      </c>
      <c r="B363" s="1">
        <v>45459</v>
      </c>
      <c r="C363" t="s">
        <v>412</v>
      </c>
      <c r="D363" t="s">
        <v>35</v>
      </c>
      <c r="E363" t="s">
        <v>878</v>
      </c>
      <c r="F363" t="s">
        <v>37</v>
      </c>
      <c r="G363" s="2">
        <v>3</v>
      </c>
      <c r="H363" s="2">
        <v>45000</v>
      </c>
      <c r="I363">
        <v>0.04</v>
      </c>
      <c r="J363" s="2">
        <v>129600</v>
      </c>
    </row>
    <row r="364" spans="1:10" x14ac:dyDescent="0.25">
      <c r="A364" t="s">
        <v>440</v>
      </c>
      <c r="B364" s="1">
        <v>45454</v>
      </c>
      <c r="C364" t="s">
        <v>412</v>
      </c>
      <c r="D364" t="s">
        <v>35</v>
      </c>
      <c r="E364" t="s">
        <v>877</v>
      </c>
      <c r="F364" t="s">
        <v>37</v>
      </c>
      <c r="G364" s="2">
        <v>5</v>
      </c>
      <c r="H364" s="2">
        <v>45000</v>
      </c>
      <c r="I364">
        <v>0.06</v>
      </c>
      <c r="J364" s="2">
        <v>211500</v>
      </c>
    </row>
    <row r="365" spans="1:10" x14ac:dyDescent="0.25">
      <c r="A365" t="s">
        <v>441</v>
      </c>
      <c r="B365" s="1">
        <v>45477</v>
      </c>
      <c r="C365" t="s">
        <v>412</v>
      </c>
      <c r="D365" t="s">
        <v>35</v>
      </c>
      <c r="E365" t="s">
        <v>878</v>
      </c>
      <c r="F365" t="s">
        <v>33</v>
      </c>
      <c r="G365" s="2">
        <v>1</v>
      </c>
      <c r="H365" s="2">
        <v>45000</v>
      </c>
      <c r="I365">
        <v>0.05</v>
      </c>
      <c r="J365" s="2">
        <v>42800</v>
      </c>
    </row>
    <row r="366" spans="1:10" x14ac:dyDescent="0.25">
      <c r="A366" t="s">
        <v>442</v>
      </c>
      <c r="B366" s="1">
        <v>45496</v>
      </c>
      <c r="C366" t="s">
        <v>412</v>
      </c>
      <c r="D366" t="s">
        <v>40</v>
      </c>
      <c r="E366" t="s">
        <v>879</v>
      </c>
      <c r="F366" t="s">
        <v>54</v>
      </c>
      <c r="G366" s="2">
        <v>2</v>
      </c>
      <c r="H366" s="2">
        <v>85000</v>
      </c>
      <c r="I366">
        <v>0.06</v>
      </c>
      <c r="J366" s="2">
        <v>159800</v>
      </c>
    </row>
    <row r="367" spans="1:10" x14ac:dyDescent="0.25">
      <c r="A367" t="s">
        <v>443</v>
      </c>
      <c r="B367" s="1">
        <v>45509</v>
      </c>
      <c r="C367" t="s">
        <v>412</v>
      </c>
      <c r="D367" t="s">
        <v>35</v>
      </c>
      <c r="E367" t="s">
        <v>878</v>
      </c>
      <c r="F367" t="s">
        <v>54</v>
      </c>
      <c r="G367" s="2">
        <v>4</v>
      </c>
      <c r="H367" s="2">
        <v>45000</v>
      </c>
      <c r="I367">
        <v>0.01</v>
      </c>
      <c r="J367" s="2">
        <v>178200</v>
      </c>
    </row>
    <row r="368" spans="1:10" x14ac:dyDescent="0.25">
      <c r="A368" t="s">
        <v>444</v>
      </c>
      <c r="B368" s="1">
        <v>45525</v>
      </c>
      <c r="C368" t="s">
        <v>412</v>
      </c>
      <c r="D368" t="s">
        <v>35</v>
      </c>
      <c r="E368" t="s">
        <v>879</v>
      </c>
      <c r="F368" t="s">
        <v>37</v>
      </c>
      <c r="G368" s="2">
        <v>2</v>
      </c>
      <c r="H368" s="2">
        <v>45000</v>
      </c>
      <c r="I368">
        <v>0.03</v>
      </c>
      <c r="J368" s="2">
        <v>87300</v>
      </c>
    </row>
    <row r="369" spans="1:10" x14ac:dyDescent="0.25">
      <c r="A369" t="s">
        <v>445</v>
      </c>
      <c r="B369" s="1">
        <v>45515</v>
      </c>
      <c r="C369" t="s">
        <v>412</v>
      </c>
      <c r="D369" t="s">
        <v>51</v>
      </c>
      <c r="E369" t="s">
        <v>880</v>
      </c>
      <c r="F369" t="s">
        <v>28</v>
      </c>
      <c r="G369" s="2">
        <v>4</v>
      </c>
      <c r="H369" s="2">
        <v>150000</v>
      </c>
      <c r="I369">
        <v>7.0000000000000007E-2</v>
      </c>
      <c r="J369" s="2">
        <v>558000</v>
      </c>
    </row>
    <row r="370" spans="1:10" x14ac:dyDescent="0.25">
      <c r="A370" t="s">
        <v>446</v>
      </c>
      <c r="B370" s="1">
        <v>45532</v>
      </c>
      <c r="C370" t="s">
        <v>412</v>
      </c>
      <c r="D370" t="s">
        <v>60</v>
      </c>
      <c r="E370" t="s">
        <v>879</v>
      </c>
      <c r="F370" t="s">
        <v>33</v>
      </c>
      <c r="G370" s="2">
        <v>2</v>
      </c>
      <c r="H370" s="2">
        <v>95000</v>
      </c>
      <c r="I370">
        <v>7.0000000000000007E-2</v>
      </c>
      <c r="J370" s="2">
        <v>176700</v>
      </c>
    </row>
    <row r="371" spans="1:10" x14ac:dyDescent="0.25">
      <c r="A371" t="s">
        <v>447</v>
      </c>
      <c r="B371" s="1">
        <v>45530</v>
      </c>
      <c r="C371" t="s">
        <v>412</v>
      </c>
      <c r="D371" t="s">
        <v>40</v>
      </c>
      <c r="E371" t="s">
        <v>877</v>
      </c>
      <c r="F371" t="s">
        <v>28</v>
      </c>
      <c r="G371" s="2">
        <v>4</v>
      </c>
      <c r="H371" s="2">
        <v>85000</v>
      </c>
      <c r="I371">
        <v>0.08</v>
      </c>
      <c r="J371" s="2">
        <v>312800</v>
      </c>
    </row>
    <row r="372" spans="1:10" x14ac:dyDescent="0.25">
      <c r="A372" t="s">
        <v>448</v>
      </c>
      <c r="B372" s="1">
        <v>45552</v>
      </c>
      <c r="C372" t="s">
        <v>412</v>
      </c>
      <c r="D372" t="s">
        <v>35</v>
      </c>
      <c r="E372" t="s">
        <v>879</v>
      </c>
      <c r="F372" t="s">
        <v>28</v>
      </c>
      <c r="G372" s="2">
        <v>4</v>
      </c>
      <c r="H372" s="2">
        <v>45000</v>
      </c>
      <c r="I372">
        <v>0.04</v>
      </c>
      <c r="J372" s="2">
        <v>172800</v>
      </c>
    </row>
    <row r="373" spans="1:10" x14ac:dyDescent="0.25">
      <c r="A373" t="s">
        <v>449</v>
      </c>
      <c r="B373" s="1">
        <v>45542</v>
      </c>
      <c r="C373" t="s">
        <v>412</v>
      </c>
      <c r="D373" t="s">
        <v>24</v>
      </c>
      <c r="E373" t="s">
        <v>877</v>
      </c>
      <c r="F373" t="s">
        <v>28</v>
      </c>
      <c r="G373" s="2">
        <v>1</v>
      </c>
      <c r="H373" s="2">
        <v>75000</v>
      </c>
      <c r="I373">
        <v>0.06</v>
      </c>
      <c r="J373" s="2">
        <v>70500</v>
      </c>
    </row>
    <row r="374" spans="1:10" x14ac:dyDescent="0.25">
      <c r="A374" t="s">
        <v>450</v>
      </c>
      <c r="B374" s="1">
        <v>45562</v>
      </c>
      <c r="C374" t="s">
        <v>412</v>
      </c>
      <c r="D374" t="s">
        <v>51</v>
      </c>
      <c r="E374" t="s">
        <v>877</v>
      </c>
      <c r="F374" t="s">
        <v>33</v>
      </c>
      <c r="G374" s="2">
        <v>1</v>
      </c>
      <c r="H374" s="2">
        <v>150000</v>
      </c>
      <c r="I374">
        <v>0.1</v>
      </c>
      <c r="J374" s="2">
        <v>135000</v>
      </c>
    </row>
    <row r="375" spans="1:10" x14ac:dyDescent="0.25">
      <c r="A375" t="s">
        <v>451</v>
      </c>
      <c r="B375" s="1">
        <v>45550</v>
      </c>
      <c r="C375" t="s">
        <v>412</v>
      </c>
      <c r="D375" t="s">
        <v>35</v>
      </c>
      <c r="E375" t="s">
        <v>877</v>
      </c>
      <c r="F375" t="s">
        <v>54</v>
      </c>
      <c r="G375" s="2">
        <v>4</v>
      </c>
      <c r="H375" s="2">
        <v>45000</v>
      </c>
      <c r="I375">
        <v>0.1</v>
      </c>
      <c r="J375" s="2">
        <v>162000</v>
      </c>
    </row>
    <row r="376" spans="1:10" x14ac:dyDescent="0.25">
      <c r="A376" t="s">
        <v>452</v>
      </c>
      <c r="B376" s="1">
        <v>45555</v>
      </c>
      <c r="C376" t="s">
        <v>412</v>
      </c>
      <c r="D376" t="s">
        <v>40</v>
      </c>
      <c r="E376" t="s">
        <v>879</v>
      </c>
      <c r="F376" t="s">
        <v>37</v>
      </c>
      <c r="G376" s="2">
        <v>1</v>
      </c>
      <c r="H376" s="2">
        <v>85000</v>
      </c>
      <c r="I376">
        <v>0.01</v>
      </c>
      <c r="J376" s="2">
        <v>84200</v>
      </c>
    </row>
    <row r="377" spans="1:10" x14ac:dyDescent="0.25">
      <c r="A377" t="s">
        <v>453</v>
      </c>
      <c r="B377" s="1">
        <v>45546</v>
      </c>
      <c r="C377" t="s">
        <v>412</v>
      </c>
      <c r="D377" t="s">
        <v>60</v>
      </c>
      <c r="E377" t="s">
        <v>880</v>
      </c>
      <c r="F377" t="s">
        <v>37</v>
      </c>
      <c r="G377" s="2">
        <v>3</v>
      </c>
      <c r="H377" s="2">
        <v>95000</v>
      </c>
      <c r="I377">
        <v>0.1</v>
      </c>
      <c r="J377" s="2">
        <v>256500</v>
      </c>
    </row>
    <row r="378" spans="1:10" x14ac:dyDescent="0.25">
      <c r="A378" t="s">
        <v>454</v>
      </c>
      <c r="B378" s="1">
        <v>45567</v>
      </c>
      <c r="C378" t="s">
        <v>412</v>
      </c>
      <c r="D378" t="s">
        <v>24</v>
      </c>
      <c r="E378" t="s">
        <v>877</v>
      </c>
      <c r="F378" t="s">
        <v>54</v>
      </c>
      <c r="G378" s="2">
        <v>4</v>
      </c>
      <c r="H378" s="2">
        <v>75000</v>
      </c>
      <c r="I378">
        <v>0.04</v>
      </c>
      <c r="J378" s="2">
        <v>288000</v>
      </c>
    </row>
    <row r="379" spans="1:10" x14ac:dyDescent="0.25">
      <c r="A379" t="s">
        <v>455</v>
      </c>
      <c r="B379" s="1">
        <v>45568</v>
      </c>
      <c r="C379" t="s">
        <v>412</v>
      </c>
      <c r="D379" t="s">
        <v>75</v>
      </c>
      <c r="E379" t="s">
        <v>880</v>
      </c>
      <c r="F379" t="s">
        <v>28</v>
      </c>
      <c r="G379" s="2">
        <v>4</v>
      </c>
      <c r="H379" s="2">
        <v>120000</v>
      </c>
      <c r="I379">
        <v>7.0000000000000007E-2</v>
      </c>
      <c r="J379" s="2">
        <v>446400</v>
      </c>
    </row>
    <row r="380" spans="1:10" x14ac:dyDescent="0.25">
      <c r="A380" t="s">
        <v>456</v>
      </c>
      <c r="B380" s="1">
        <v>45588</v>
      </c>
      <c r="C380" t="s">
        <v>412</v>
      </c>
      <c r="D380" t="s">
        <v>35</v>
      </c>
      <c r="E380" t="s">
        <v>877</v>
      </c>
      <c r="F380" t="s">
        <v>28</v>
      </c>
      <c r="G380" s="2">
        <v>1</v>
      </c>
      <c r="H380" s="2">
        <v>45000</v>
      </c>
      <c r="I380">
        <v>7.0000000000000007E-2</v>
      </c>
      <c r="J380" s="2">
        <v>41800</v>
      </c>
    </row>
    <row r="381" spans="1:10" x14ac:dyDescent="0.25">
      <c r="A381" t="s">
        <v>457</v>
      </c>
      <c r="B381" s="1">
        <v>45584</v>
      </c>
      <c r="C381" t="s">
        <v>412</v>
      </c>
      <c r="D381" t="s">
        <v>24</v>
      </c>
      <c r="E381" t="s">
        <v>879</v>
      </c>
      <c r="F381" t="s">
        <v>37</v>
      </c>
      <c r="G381" s="2">
        <v>5</v>
      </c>
      <c r="H381" s="2">
        <v>75000</v>
      </c>
      <c r="I381">
        <v>0.01</v>
      </c>
      <c r="J381" s="2">
        <v>371200</v>
      </c>
    </row>
    <row r="382" spans="1:10" x14ac:dyDescent="0.25">
      <c r="A382" t="s">
        <v>458</v>
      </c>
      <c r="B382" s="1">
        <v>45587</v>
      </c>
      <c r="C382" t="s">
        <v>412</v>
      </c>
      <c r="D382" t="s">
        <v>47</v>
      </c>
      <c r="E382" t="s">
        <v>878</v>
      </c>
      <c r="F382" t="s">
        <v>54</v>
      </c>
      <c r="G382" s="2">
        <v>4</v>
      </c>
      <c r="H382" s="2">
        <v>200000</v>
      </c>
      <c r="I382">
        <v>0.01</v>
      </c>
      <c r="J382" s="2">
        <v>792000</v>
      </c>
    </row>
    <row r="383" spans="1:10" x14ac:dyDescent="0.25">
      <c r="A383" t="s">
        <v>459</v>
      </c>
      <c r="B383" s="1">
        <v>45568</v>
      </c>
      <c r="C383" t="s">
        <v>412</v>
      </c>
      <c r="D383" t="s">
        <v>30</v>
      </c>
      <c r="E383" t="s">
        <v>880</v>
      </c>
      <c r="F383" t="s">
        <v>37</v>
      </c>
      <c r="G383" s="2">
        <v>1</v>
      </c>
      <c r="H383" s="2">
        <v>60000</v>
      </c>
      <c r="I383">
        <v>0.1</v>
      </c>
      <c r="J383" s="2">
        <v>54000</v>
      </c>
    </row>
    <row r="384" spans="1:10" x14ac:dyDescent="0.25">
      <c r="A384" t="s">
        <v>460</v>
      </c>
      <c r="B384" s="1">
        <v>45587</v>
      </c>
      <c r="C384" t="s">
        <v>412</v>
      </c>
      <c r="D384" t="s">
        <v>75</v>
      </c>
      <c r="E384" t="s">
        <v>878</v>
      </c>
      <c r="F384" t="s">
        <v>33</v>
      </c>
      <c r="G384" s="2">
        <v>3</v>
      </c>
      <c r="H384" s="2">
        <v>120000</v>
      </c>
      <c r="I384">
        <v>0.12</v>
      </c>
      <c r="J384" s="2">
        <v>316800</v>
      </c>
    </row>
    <row r="385" spans="1:10" x14ac:dyDescent="0.25">
      <c r="A385" t="s">
        <v>461</v>
      </c>
      <c r="B385" s="1">
        <v>45599</v>
      </c>
      <c r="C385" t="s">
        <v>412</v>
      </c>
      <c r="D385" t="s">
        <v>51</v>
      </c>
      <c r="E385" t="s">
        <v>878</v>
      </c>
      <c r="F385" t="s">
        <v>28</v>
      </c>
      <c r="G385" s="2">
        <v>4</v>
      </c>
      <c r="H385" s="2">
        <v>150000</v>
      </c>
      <c r="I385">
        <v>0.04</v>
      </c>
      <c r="J385" s="2">
        <v>576000</v>
      </c>
    </row>
    <row r="386" spans="1:10" x14ac:dyDescent="0.25">
      <c r="A386" t="s">
        <v>462</v>
      </c>
      <c r="B386" s="1">
        <v>45614</v>
      </c>
      <c r="C386" t="s">
        <v>412</v>
      </c>
      <c r="D386" t="s">
        <v>51</v>
      </c>
      <c r="E386" t="s">
        <v>877</v>
      </c>
      <c r="F386" t="s">
        <v>37</v>
      </c>
      <c r="G386" s="2">
        <v>4</v>
      </c>
      <c r="H386" s="2">
        <v>150000</v>
      </c>
      <c r="I386">
        <v>0.01</v>
      </c>
      <c r="J386" s="2">
        <v>594000</v>
      </c>
    </row>
    <row r="387" spans="1:10" x14ac:dyDescent="0.25">
      <c r="A387" t="s">
        <v>463</v>
      </c>
      <c r="B387" s="1">
        <v>45600</v>
      </c>
      <c r="C387" t="s">
        <v>412</v>
      </c>
      <c r="D387" t="s">
        <v>24</v>
      </c>
      <c r="E387" t="s">
        <v>878</v>
      </c>
      <c r="F387" t="s">
        <v>54</v>
      </c>
      <c r="G387" s="2">
        <v>4</v>
      </c>
      <c r="H387" s="2">
        <v>75000</v>
      </c>
      <c r="I387">
        <v>0.08</v>
      </c>
      <c r="J387" s="2">
        <v>276000</v>
      </c>
    </row>
    <row r="388" spans="1:10" x14ac:dyDescent="0.25">
      <c r="A388" t="s">
        <v>464</v>
      </c>
      <c r="B388" s="1">
        <v>45623</v>
      </c>
      <c r="C388" t="s">
        <v>412</v>
      </c>
      <c r="D388" t="s">
        <v>40</v>
      </c>
      <c r="E388" t="s">
        <v>879</v>
      </c>
      <c r="F388" t="s">
        <v>28</v>
      </c>
      <c r="G388" s="2">
        <v>5</v>
      </c>
      <c r="H388" s="2">
        <v>85000</v>
      </c>
      <c r="I388">
        <v>0.05</v>
      </c>
      <c r="J388" s="2">
        <v>403800</v>
      </c>
    </row>
    <row r="389" spans="1:10" x14ac:dyDescent="0.25">
      <c r="A389" t="s">
        <v>465</v>
      </c>
      <c r="B389" s="1">
        <v>45608</v>
      </c>
      <c r="C389" t="s">
        <v>412</v>
      </c>
      <c r="D389" t="s">
        <v>47</v>
      </c>
      <c r="E389" t="s">
        <v>879</v>
      </c>
      <c r="F389" t="s">
        <v>37</v>
      </c>
      <c r="G389" s="2">
        <v>2</v>
      </c>
      <c r="H389" s="2">
        <v>200000</v>
      </c>
      <c r="I389">
        <v>0.01</v>
      </c>
      <c r="J389" s="2">
        <v>396000</v>
      </c>
    </row>
    <row r="390" spans="1:10" x14ac:dyDescent="0.25">
      <c r="A390" t="s">
        <v>466</v>
      </c>
      <c r="B390" s="1">
        <v>45616</v>
      </c>
      <c r="C390" t="s">
        <v>412</v>
      </c>
      <c r="D390" t="s">
        <v>30</v>
      </c>
      <c r="E390" t="s">
        <v>878</v>
      </c>
      <c r="F390" t="s">
        <v>33</v>
      </c>
      <c r="G390" s="2">
        <v>4</v>
      </c>
      <c r="H390" s="2">
        <v>60000</v>
      </c>
      <c r="I390">
        <v>0.02</v>
      </c>
      <c r="J390" s="2">
        <v>235200</v>
      </c>
    </row>
    <row r="391" spans="1:10" x14ac:dyDescent="0.25">
      <c r="A391" t="s">
        <v>467</v>
      </c>
      <c r="B391" s="1">
        <v>45622</v>
      </c>
      <c r="C391" t="s">
        <v>412</v>
      </c>
      <c r="D391" t="s">
        <v>51</v>
      </c>
      <c r="E391" t="s">
        <v>877</v>
      </c>
      <c r="F391" t="s">
        <v>54</v>
      </c>
      <c r="G391" s="2">
        <v>2</v>
      </c>
      <c r="H391" s="2">
        <v>150000</v>
      </c>
      <c r="I391">
        <v>0.11</v>
      </c>
      <c r="J391" s="2">
        <v>267000</v>
      </c>
    </row>
    <row r="392" spans="1:10" x14ac:dyDescent="0.25">
      <c r="A392" t="s">
        <v>468</v>
      </c>
      <c r="B392" s="1">
        <v>45635</v>
      </c>
      <c r="C392" t="s">
        <v>412</v>
      </c>
      <c r="D392" t="s">
        <v>47</v>
      </c>
      <c r="E392" t="s">
        <v>877</v>
      </c>
      <c r="F392" t="s">
        <v>28</v>
      </c>
      <c r="G392" s="2">
        <v>3</v>
      </c>
      <c r="H392" s="2">
        <v>200000</v>
      </c>
      <c r="I392">
        <v>0.03</v>
      </c>
      <c r="J392" s="2">
        <v>582000</v>
      </c>
    </row>
    <row r="393" spans="1:10" x14ac:dyDescent="0.25">
      <c r="A393" t="s">
        <v>469</v>
      </c>
      <c r="B393" s="1">
        <v>45629</v>
      </c>
      <c r="C393" t="s">
        <v>412</v>
      </c>
      <c r="D393" t="s">
        <v>40</v>
      </c>
      <c r="E393" t="s">
        <v>880</v>
      </c>
      <c r="F393" t="s">
        <v>28</v>
      </c>
      <c r="G393" s="2">
        <v>4</v>
      </c>
      <c r="H393" s="2">
        <v>85000</v>
      </c>
      <c r="I393">
        <v>0.03</v>
      </c>
      <c r="J393" s="2">
        <v>329800</v>
      </c>
    </row>
    <row r="394" spans="1:10" x14ac:dyDescent="0.25">
      <c r="A394" t="s">
        <v>470</v>
      </c>
      <c r="B394" s="1">
        <v>45645</v>
      </c>
      <c r="C394" t="s">
        <v>412</v>
      </c>
      <c r="D394" t="s">
        <v>51</v>
      </c>
      <c r="E394" t="s">
        <v>877</v>
      </c>
      <c r="F394" t="s">
        <v>33</v>
      </c>
      <c r="G394" s="2">
        <v>1</v>
      </c>
      <c r="H394" s="2">
        <v>150000</v>
      </c>
      <c r="I394">
        <v>0.1</v>
      </c>
      <c r="J394" s="2">
        <v>135000</v>
      </c>
    </row>
    <row r="395" spans="1:10" x14ac:dyDescent="0.25">
      <c r="A395" t="s">
        <v>471</v>
      </c>
      <c r="B395" s="1">
        <v>45638</v>
      </c>
      <c r="C395" t="s">
        <v>412</v>
      </c>
      <c r="D395" t="s">
        <v>51</v>
      </c>
      <c r="E395" t="s">
        <v>877</v>
      </c>
      <c r="F395" t="s">
        <v>33</v>
      </c>
      <c r="G395" s="2">
        <v>1</v>
      </c>
      <c r="H395" s="2">
        <v>150000</v>
      </c>
      <c r="I395">
        <v>0.01</v>
      </c>
      <c r="J395" s="2">
        <v>148500</v>
      </c>
    </row>
    <row r="396" spans="1:10" x14ac:dyDescent="0.25">
      <c r="A396" t="s">
        <v>472</v>
      </c>
      <c r="B396" s="1">
        <v>45632</v>
      </c>
      <c r="C396" t="s">
        <v>412</v>
      </c>
      <c r="D396" t="s">
        <v>51</v>
      </c>
      <c r="E396" t="s">
        <v>879</v>
      </c>
      <c r="F396" t="s">
        <v>28</v>
      </c>
      <c r="G396" s="2">
        <v>5</v>
      </c>
      <c r="H396" s="2">
        <v>150000</v>
      </c>
      <c r="I396">
        <v>0.08</v>
      </c>
      <c r="J396" s="2">
        <v>690000</v>
      </c>
    </row>
    <row r="397" spans="1:10" x14ac:dyDescent="0.25">
      <c r="A397" t="s">
        <v>473</v>
      </c>
      <c r="B397" s="1">
        <v>45638</v>
      </c>
      <c r="C397" t="s">
        <v>412</v>
      </c>
      <c r="D397" t="s">
        <v>51</v>
      </c>
      <c r="E397" t="s">
        <v>878</v>
      </c>
      <c r="F397" t="s">
        <v>54</v>
      </c>
      <c r="G397" s="2">
        <v>1</v>
      </c>
      <c r="H397" s="2">
        <v>150000</v>
      </c>
      <c r="I397">
        <v>0.09</v>
      </c>
      <c r="J397" s="2">
        <v>136500</v>
      </c>
    </row>
    <row r="398" spans="1:10" x14ac:dyDescent="0.25">
      <c r="A398" t="s">
        <v>474</v>
      </c>
      <c r="B398" s="1">
        <v>45305</v>
      </c>
      <c r="C398" t="s">
        <v>475</v>
      </c>
      <c r="D398" t="s">
        <v>60</v>
      </c>
      <c r="E398" t="s">
        <v>878</v>
      </c>
      <c r="F398" t="s">
        <v>37</v>
      </c>
      <c r="G398" s="2">
        <v>4</v>
      </c>
      <c r="H398" s="2">
        <v>95000</v>
      </c>
      <c r="I398">
        <v>0.11</v>
      </c>
      <c r="J398" s="2">
        <v>338200</v>
      </c>
    </row>
    <row r="399" spans="1:10" x14ac:dyDescent="0.25">
      <c r="A399" t="s">
        <v>478</v>
      </c>
      <c r="B399" s="1">
        <v>45307</v>
      </c>
      <c r="C399" t="s">
        <v>475</v>
      </c>
      <c r="D399" t="s">
        <v>35</v>
      </c>
      <c r="E399" t="s">
        <v>877</v>
      </c>
      <c r="F399" t="s">
        <v>54</v>
      </c>
      <c r="G399" s="2">
        <v>4</v>
      </c>
      <c r="H399" s="2">
        <v>45000</v>
      </c>
      <c r="I399">
        <v>0.02</v>
      </c>
      <c r="J399" s="2">
        <v>176400</v>
      </c>
    </row>
    <row r="400" spans="1:10" x14ac:dyDescent="0.25">
      <c r="A400" t="s">
        <v>479</v>
      </c>
      <c r="B400" s="1">
        <v>45303</v>
      </c>
      <c r="C400" t="s">
        <v>475</v>
      </c>
      <c r="D400" t="s">
        <v>75</v>
      </c>
      <c r="E400" t="s">
        <v>878</v>
      </c>
      <c r="F400" t="s">
        <v>54</v>
      </c>
      <c r="G400" s="2">
        <v>2</v>
      </c>
      <c r="H400" s="2">
        <v>120000</v>
      </c>
      <c r="I400">
        <v>7.0000000000000007E-2</v>
      </c>
      <c r="J400" s="2">
        <v>223200</v>
      </c>
    </row>
    <row r="401" spans="1:10" x14ac:dyDescent="0.25">
      <c r="A401" t="s">
        <v>480</v>
      </c>
      <c r="B401" s="1">
        <v>45350</v>
      </c>
      <c r="C401" t="s">
        <v>475</v>
      </c>
      <c r="D401" t="s">
        <v>75</v>
      </c>
      <c r="E401" t="s">
        <v>878</v>
      </c>
      <c r="F401" t="s">
        <v>37</v>
      </c>
      <c r="G401" s="2">
        <v>5</v>
      </c>
      <c r="H401" s="2">
        <v>120000</v>
      </c>
      <c r="I401">
        <v>0.05</v>
      </c>
      <c r="J401" s="2">
        <v>570000</v>
      </c>
    </row>
    <row r="402" spans="1:10" x14ac:dyDescent="0.25">
      <c r="A402" t="s">
        <v>481</v>
      </c>
      <c r="B402" s="1">
        <v>45324</v>
      </c>
      <c r="C402" t="s">
        <v>475</v>
      </c>
      <c r="D402" t="s">
        <v>35</v>
      </c>
      <c r="E402" t="s">
        <v>878</v>
      </c>
      <c r="F402" t="s">
        <v>33</v>
      </c>
      <c r="G402" s="2">
        <v>3</v>
      </c>
      <c r="H402" s="2">
        <v>45000</v>
      </c>
      <c r="I402">
        <v>0.01</v>
      </c>
      <c r="J402" s="2">
        <v>133600</v>
      </c>
    </row>
    <row r="403" spans="1:10" x14ac:dyDescent="0.25">
      <c r="A403" t="s">
        <v>482</v>
      </c>
      <c r="B403" s="1">
        <v>45325</v>
      </c>
      <c r="C403" t="s">
        <v>475</v>
      </c>
      <c r="D403" t="s">
        <v>60</v>
      </c>
      <c r="E403" t="s">
        <v>878</v>
      </c>
      <c r="F403" t="s">
        <v>37</v>
      </c>
      <c r="G403" s="2">
        <v>1</v>
      </c>
      <c r="H403" s="2">
        <v>95000</v>
      </c>
      <c r="I403">
        <v>0.11</v>
      </c>
      <c r="J403" s="2">
        <v>84600</v>
      </c>
    </row>
    <row r="404" spans="1:10" x14ac:dyDescent="0.25">
      <c r="A404" t="s">
        <v>483</v>
      </c>
      <c r="B404" s="1">
        <v>45354</v>
      </c>
      <c r="C404" t="s">
        <v>475</v>
      </c>
      <c r="D404" t="s">
        <v>60</v>
      </c>
      <c r="E404" t="s">
        <v>879</v>
      </c>
      <c r="F404" t="s">
        <v>37</v>
      </c>
      <c r="G404" s="2">
        <v>5</v>
      </c>
      <c r="H404" s="2">
        <v>95000</v>
      </c>
      <c r="I404">
        <v>0.12</v>
      </c>
      <c r="J404" s="2">
        <v>418000</v>
      </c>
    </row>
    <row r="405" spans="1:10" x14ac:dyDescent="0.25">
      <c r="A405" t="s">
        <v>484</v>
      </c>
      <c r="B405" s="1">
        <v>45374</v>
      </c>
      <c r="C405" t="s">
        <v>475</v>
      </c>
      <c r="D405" t="s">
        <v>30</v>
      </c>
      <c r="E405" t="s">
        <v>880</v>
      </c>
      <c r="F405" t="s">
        <v>28</v>
      </c>
      <c r="G405" s="2">
        <v>1</v>
      </c>
      <c r="H405" s="2">
        <v>60000</v>
      </c>
      <c r="I405">
        <v>0.02</v>
      </c>
      <c r="J405" s="2">
        <v>58800</v>
      </c>
    </row>
    <row r="406" spans="1:10" x14ac:dyDescent="0.25">
      <c r="A406" t="s">
        <v>485</v>
      </c>
      <c r="B406" s="1">
        <v>45361</v>
      </c>
      <c r="C406" t="s">
        <v>475</v>
      </c>
      <c r="D406" t="s">
        <v>60</v>
      </c>
      <c r="E406" t="s">
        <v>877</v>
      </c>
      <c r="F406" t="s">
        <v>37</v>
      </c>
      <c r="G406" s="2">
        <v>2</v>
      </c>
      <c r="H406" s="2">
        <v>95000</v>
      </c>
      <c r="I406">
        <v>0.05</v>
      </c>
      <c r="J406" s="2">
        <v>180500</v>
      </c>
    </row>
    <row r="407" spans="1:10" x14ac:dyDescent="0.25">
      <c r="A407" t="s">
        <v>486</v>
      </c>
      <c r="B407" s="1">
        <v>45360</v>
      </c>
      <c r="C407" t="s">
        <v>475</v>
      </c>
      <c r="D407" t="s">
        <v>30</v>
      </c>
      <c r="E407" t="s">
        <v>880</v>
      </c>
      <c r="F407" t="s">
        <v>37</v>
      </c>
      <c r="G407" s="2">
        <v>1</v>
      </c>
      <c r="H407" s="2">
        <v>60000</v>
      </c>
      <c r="I407">
        <v>0.1</v>
      </c>
      <c r="J407" s="2">
        <v>54000</v>
      </c>
    </row>
    <row r="408" spans="1:10" x14ac:dyDescent="0.25">
      <c r="A408" t="s">
        <v>487</v>
      </c>
      <c r="B408" s="1">
        <v>45366</v>
      </c>
      <c r="C408" t="s">
        <v>475</v>
      </c>
      <c r="D408" t="s">
        <v>30</v>
      </c>
      <c r="E408" t="s">
        <v>878</v>
      </c>
      <c r="F408" t="s">
        <v>33</v>
      </c>
      <c r="G408" s="2">
        <v>4</v>
      </c>
      <c r="H408" s="2">
        <v>60000</v>
      </c>
      <c r="I408">
        <v>0.11</v>
      </c>
      <c r="J408" s="2">
        <v>213600</v>
      </c>
    </row>
    <row r="409" spans="1:10" x14ac:dyDescent="0.25">
      <c r="A409" t="s">
        <v>488</v>
      </c>
      <c r="B409" s="1">
        <v>45397</v>
      </c>
      <c r="C409" t="s">
        <v>475</v>
      </c>
      <c r="D409" t="s">
        <v>35</v>
      </c>
      <c r="E409" t="s">
        <v>880</v>
      </c>
      <c r="F409" t="s">
        <v>33</v>
      </c>
      <c r="G409" s="2">
        <v>1</v>
      </c>
      <c r="H409" s="2">
        <v>45000</v>
      </c>
      <c r="I409">
        <v>0.09</v>
      </c>
      <c r="J409" s="2">
        <v>41000</v>
      </c>
    </row>
    <row r="410" spans="1:10" x14ac:dyDescent="0.25">
      <c r="A410" t="s">
        <v>489</v>
      </c>
      <c r="B410" s="1">
        <v>45397</v>
      </c>
      <c r="C410" t="s">
        <v>475</v>
      </c>
      <c r="D410" t="s">
        <v>35</v>
      </c>
      <c r="E410" t="s">
        <v>878</v>
      </c>
      <c r="F410" t="s">
        <v>28</v>
      </c>
      <c r="G410" s="2">
        <v>1</v>
      </c>
      <c r="H410" s="2">
        <v>45000</v>
      </c>
      <c r="I410">
        <v>0.08</v>
      </c>
      <c r="J410" s="2">
        <v>41400</v>
      </c>
    </row>
    <row r="411" spans="1:10" x14ac:dyDescent="0.25">
      <c r="A411" t="s">
        <v>490</v>
      </c>
      <c r="B411" s="1">
        <v>45388</v>
      </c>
      <c r="C411" t="s">
        <v>475</v>
      </c>
      <c r="D411" t="s">
        <v>35</v>
      </c>
      <c r="E411" t="s">
        <v>878</v>
      </c>
      <c r="F411" t="s">
        <v>33</v>
      </c>
      <c r="G411" s="2">
        <v>3</v>
      </c>
      <c r="H411" s="2">
        <v>45000</v>
      </c>
      <c r="I411">
        <v>0.06</v>
      </c>
      <c r="J411" s="2">
        <v>126900</v>
      </c>
    </row>
    <row r="412" spans="1:10" x14ac:dyDescent="0.25">
      <c r="A412" t="s">
        <v>491</v>
      </c>
      <c r="B412" s="1">
        <v>45384</v>
      </c>
      <c r="C412" t="s">
        <v>475</v>
      </c>
      <c r="D412" t="s">
        <v>60</v>
      </c>
      <c r="E412" t="s">
        <v>878</v>
      </c>
      <c r="F412" t="s">
        <v>37</v>
      </c>
      <c r="G412" s="2">
        <v>5</v>
      </c>
      <c r="H412" s="2">
        <v>95000</v>
      </c>
      <c r="I412">
        <v>0.02</v>
      </c>
      <c r="J412" s="2">
        <v>465500</v>
      </c>
    </row>
    <row r="413" spans="1:10" x14ac:dyDescent="0.25">
      <c r="A413" t="s">
        <v>492</v>
      </c>
      <c r="B413" s="1">
        <v>45425</v>
      </c>
      <c r="C413" t="s">
        <v>475</v>
      </c>
      <c r="D413" t="s">
        <v>40</v>
      </c>
      <c r="E413" t="s">
        <v>880</v>
      </c>
      <c r="F413" t="s">
        <v>54</v>
      </c>
      <c r="G413" s="2">
        <v>1</v>
      </c>
      <c r="H413" s="2">
        <v>85000</v>
      </c>
      <c r="I413">
        <v>0.02</v>
      </c>
      <c r="J413" s="2">
        <v>83300</v>
      </c>
    </row>
    <row r="414" spans="1:10" x14ac:dyDescent="0.25">
      <c r="A414" t="s">
        <v>493</v>
      </c>
      <c r="B414" s="1">
        <v>45416</v>
      </c>
      <c r="C414" t="s">
        <v>475</v>
      </c>
      <c r="D414" t="s">
        <v>40</v>
      </c>
      <c r="E414" t="s">
        <v>877</v>
      </c>
      <c r="F414" t="s">
        <v>37</v>
      </c>
      <c r="G414" s="2">
        <v>5</v>
      </c>
      <c r="H414" s="2">
        <v>85000</v>
      </c>
      <c r="I414">
        <v>0.09</v>
      </c>
      <c r="J414" s="2">
        <v>386800</v>
      </c>
    </row>
    <row r="415" spans="1:10" x14ac:dyDescent="0.25">
      <c r="A415" t="s">
        <v>494</v>
      </c>
      <c r="B415" s="1">
        <v>45434</v>
      </c>
      <c r="C415" t="s">
        <v>475</v>
      </c>
      <c r="D415" t="s">
        <v>24</v>
      </c>
      <c r="E415" t="s">
        <v>879</v>
      </c>
      <c r="F415" t="s">
        <v>54</v>
      </c>
      <c r="G415" s="2">
        <v>1</v>
      </c>
      <c r="H415" s="2">
        <v>75000</v>
      </c>
      <c r="I415">
        <v>7.0000000000000007E-2</v>
      </c>
      <c r="J415" s="2">
        <v>69800</v>
      </c>
    </row>
    <row r="416" spans="1:10" x14ac:dyDescent="0.25">
      <c r="A416" t="s">
        <v>495</v>
      </c>
      <c r="B416" s="1">
        <v>45423</v>
      </c>
      <c r="C416" t="s">
        <v>475</v>
      </c>
      <c r="D416" t="s">
        <v>47</v>
      </c>
      <c r="E416" t="s">
        <v>879</v>
      </c>
      <c r="F416" t="s">
        <v>37</v>
      </c>
      <c r="G416" s="2">
        <v>5</v>
      </c>
      <c r="H416" s="2">
        <v>200000</v>
      </c>
      <c r="I416">
        <v>0.08</v>
      </c>
      <c r="J416" s="2">
        <v>920000</v>
      </c>
    </row>
    <row r="417" spans="1:10" x14ac:dyDescent="0.25">
      <c r="A417" t="s">
        <v>496</v>
      </c>
      <c r="B417" s="1">
        <v>45460</v>
      </c>
      <c r="C417" t="s">
        <v>475</v>
      </c>
      <c r="D417" t="s">
        <v>40</v>
      </c>
      <c r="E417" t="s">
        <v>878</v>
      </c>
      <c r="F417" t="s">
        <v>28</v>
      </c>
      <c r="G417" s="2">
        <v>4</v>
      </c>
      <c r="H417" s="2">
        <v>85000</v>
      </c>
      <c r="I417">
        <v>0</v>
      </c>
      <c r="J417" s="2">
        <v>340000</v>
      </c>
    </row>
    <row r="418" spans="1:10" x14ac:dyDescent="0.25">
      <c r="A418" t="s">
        <v>497</v>
      </c>
      <c r="B418" s="1">
        <v>45471</v>
      </c>
      <c r="C418" t="s">
        <v>475</v>
      </c>
      <c r="D418" t="s">
        <v>47</v>
      </c>
      <c r="E418" t="s">
        <v>880</v>
      </c>
      <c r="F418" t="s">
        <v>54</v>
      </c>
      <c r="G418" s="2">
        <v>1</v>
      </c>
      <c r="H418" s="2">
        <v>200000</v>
      </c>
      <c r="I418">
        <v>0.01</v>
      </c>
      <c r="J418" s="2">
        <v>198000</v>
      </c>
    </row>
    <row r="419" spans="1:10" x14ac:dyDescent="0.25">
      <c r="A419" t="s">
        <v>498</v>
      </c>
      <c r="B419" s="1">
        <v>45457</v>
      </c>
      <c r="C419" t="s">
        <v>475</v>
      </c>
      <c r="D419" t="s">
        <v>51</v>
      </c>
      <c r="E419" t="s">
        <v>878</v>
      </c>
      <c r="F419" t="s">
        <v>54</v>
      </c>
      <c r="G419" s="2">
        <v>5</v>
      </c>
      <c r="H419" s="2">
        <v>150000</v>
      </c>
      <c r="I419">
        <v>7.0000000000000007E-2</v>
      </c>
      <c r="J419" s="2">
        <v>697500</v>
      </c>
    </row>
    <row r="420" spans="1:10" x14ac:dyDescent="0.25">
      <c r="A420" t="s">
        <v>499</v>
      </c>
      <c r="B420" s="1">
        <v>45464</v>
      </c>
      <c r="C420" t="s">
        <v>475</v>
      </c>
      <c r="D420" t="s">
        <v>47</v>
      </c>
      <c r="E420" t="s">
        <v>880</v>
      </c>
      <c r="F420" t="s">
        <v>33</v>
      </c>
      <c r="G420" s="2">
        <v>3</v>
      </c>
      <c r="H420" s="2">
        <v>200000</v>
      </c>
      <c r="I420">
        <v>0.09</v>
      </c>
      <c r="J420" s="2">
        <v>546000</v>
      </c>
    </row>
    <row r="421" spans="1:10" x14ac:dyDescent="0.25">
      <c r="A421" t="s">
        <v>500</v>
      </c>
      <c r="B421" s="1">
        <v>45453</v>
      </c>
      <c r="C421" t="s">
        <v>475</v>
      </c>
      <c r="D421" t="s">
        <v>51</v>
      </c>
      <c r="E421" t="s">
        <v>878</v>
      </c>
      <c r="F421" t="s">
        <v>28</v>
      </c>
      <c r="G421" s="2">
        <v>1</v>
      </c>
      <c r="H421" s="2">
        <v>150000</v>
      </c>
      <c r="I421">
        <v>0.11</v>
      </c>
      <c r="J421" s="2">
        <v>133500</v>
      </c>
    </row>
    <row r="422" spans="1:10" x14ac:dyDescent="0.25">
      <c r="A422" t="s">
        <v>501</v>
      </c>
      <c r="B422" s="1">
        <v>45448</v>
      </c>
      <c r="C422" t="s">
        <v>475</v>
      </c>
      <c r="D422" t="s">
        <v>40</v>
      </c>
      <c r="E422" t="s">
        <v>877</v>
      </c>
      <c r="F422" t="s">
        <v>54</v>
      </c>
      <c r="G422" s="2">
        <v>3</v>
      </c>
      <c r="H422" s="2">
        <v>85000</v>
      </c>
      <c r="I422">
        <v>0.12</v>
      </c>
      <c r="J422" s="2">
        <v>224400</v>
      </c>
    </row>
    <row r="423" spans="1:10" x14ac:dyDescent="0.25">
      <c r="A423" t="s">
        <v>502</v>
      </c>
      <c r="B423" s="1">
        <v>45499</v>
      </c>
      <c r="C423" t="s">
        <v>475</v>
      </c>
      <c r="D423" t="s">
        <v>75</v>
      </c>
      <c r="E423" t="s">
        <v>879</v>
      </c>
      <c r="F423" t="s">
        <v>33</v>
      </c>
      <c r="G423" s="2">
        <v>2</v>
      </c>
      <c r="H423" s="2">
        <v>120000</v>
      </c>
      <c r="I423">
        <v>0.11</v>
      </c>
      <c r="J423" s="2">
        <v>213600</v>
      </c>
    </row>
    <row r="424" spans="1:10" x14ac:dyDescent="0.25">
      <c r="A424" t="s">
        <v>503</v>
      </c>
      <c r="B424" s="1">
        <v>45499</v>
      </c>
      <c r="C424" t="s">
        <v>475</v>
      </c>
      <c r="D424" t="s">
        <v>30</v>
      </c>
      <c r="E424" t="s">
        <v>878</v>
      </c>
      <c r="F424" t="s">
        <v>28</v>
      </c>
      <c r="G424" s="2">
        <v>4</v>
      </c>
      <c r="H424" s="2">
        <v>60000</v>
      </c>
      <c r="I424">
        <v>0.1</v>
      </c>
      <c r="J424" s="2">
        <v>216000</v>
      </c>
    </row>
    <row r="425" spans="1:10" x14ac:dyDescent="0.25">
      <c r="A425" t="s">
        <v>504</v>
      </c>
      <c r="B425" s="1">
        <v>45489</v>
      </c>
      <c r="C425" t="s">
        <v>475</v>
      </c>
      <c r="D425" t="s">
        <v>47</v>
      </c>
      <c r="E425" t="s">
        <v>879</v>
      </c>
      <c r="F425" t="s">
        <v>54</v>
      </c>
      <c r="G425" s="2">
        <v>5</v>
      </c>
      <c r="H425" s="2">
        <v>200000</v>
      </c>
      <c r="I425">
        <v>7.0000000000000007E-2</v>
      </c>
      <c r="J425" s="2">
        <v>930000</v>
      </c>
    </row>
    <row r="426" spans="1:10" x14ac:dyDescent="0.25">
      <c r="A426" t="s">
        <v>505</v>
      </c>
      <c r="B426" s="1">
        <v>45477</v>
      </c>
      <c r="C426" t="s">
        <v>475</v>
      </c>
      <c r="D426" t="s">
        <v>60</v>
      </c>
      <c r="E426" t="s">
        <v>877</v>
      </c>
      <c r="F426" t="s">
        <v>54</v>
      </c>
      <c r="G426" s="2">
        <v>2</v>
      </c>
      <c r="H426" s="2">
        <v>95000</v>
      </c>
      <c r="I426">
        <v>0.05</v>
      </c>
      <c r="J426" s="2">
        <v>180500</v>
      </c>
    </row>
    <row r="427" spans="1:10" x14ac:dyDescent="0.25">
      <c r="A427" t="s">
        <v>506</v>
      </c>
      <c r="B427" s="1">
        <v>45512</v>
      </c>
      <c r="C427" t="s">
        <v>475</v>
      </c>
      <c r="D427" t="s">
        <v>51</v>
      </c>
      <c r="E427" t="s">
        <v>880</v>
      </c>
      <c r="F427" t="s">
        <v>37</v>
      </c>
      <c r="G427" s="2">
        <v>4</v>
      </c>
      <c r="H427" s="2">
        <v>150000</v>
      </c>
      <c r="I427">
        <v>0.09</v>
      </c>
      <c r="J427" s="2">
        <v>546000</v>
      </c>
    </row>
    <row r="428" spans="1:10" x14ac:dyDescent="0.25">
      <c r="A428" t="s">
        <v>507</v>
      </c>
      <c r="B428" s="1">
        <v>45508</v>
      </c>
      <c r="C428" t="s">
        <v>475</v>
      </c>
      <c r="D428" t="s">
        <v>51</v>
      </c>
      <c r="E428" t="s">
        <v>879</v>
      </c>
      <c r="F428" t="s">
        <v>28</v>
      </c>
      <c r="G428" s="2">
        <v>5</v>
      </c>
      <c r="H428" s="2">
        <v>150000</v>
      </c>
      <c r="I428">
        <v>7.0000000000000007E-2</v>
      </c>
      <c r="J428" s="2">
        <v>697500</v>
      </c>
    </row>
    <row r="429" spans="1:10" x14ac:dyDescent="0.25">
      <c r="A429" t="s">
        <v>508</v>
      </c>
      <c r="B429" s="1">
        <v>45563</v>
      </c>
      <c r="C429" t="s">
        <v>475</v>
      </c>
      <c r="D429" t="s">
        <v>30</v>
      </c>
      <c r="E429" t="s">
        <v>879</v>
      </c>
      <c r="F429" t="s">
        <v>33</v>
      </c>
      <c r="G429" s="2">
        <v>2</v>
      </c>
      <c r="H429" s="2">
        <v>60000</v>
      </c>
      <c r="I429">
        <v>0.04</v>
      </c>
      <c r="J429" s="2">
        <v>115200</v>
      </c>
    </row>
    <row r="430" spans="1:10" x14ac:dyDescent="0.25">
      <c r="A430" t="s">
        <v>509</v>
      </c>
      <c r="B430" s="1">
        <v>45563</v>
      </c>
      <c r="C430" t="s">
        <v>475</v>
      </c>
      <c r="D430" t="s">
        <v>24</v>
      </c>
      <c r="E430" t="s">
        <v>879</v>
      </c>
      <c r="F430" t="s">
        <v>37</v>
      </c>
      <c r="G430" s="2">
        <v>5</v>
      </c>
      <c r="H430" s="2">
        <v>75000</v>
      </c>
      <c r="I430">
        <v>0.04</v>
      </c>
      <c r="J430" s="2">
        <v>360000</v>
      </c>
    </row>
    <row r="431" spans="1:10" x14ac:dyDescent="0.25">
      <c r="A431" t="s">
        <v>510</v>
      </c>
      <c r="B431" s="1">
        <v>45561</v>
      </c>
      <c r="C431" t="s">
        <v>475</v>
      </c>
      <c r="D431" t="s">
        <v>35</v>
      </c>
      <c r="E431" t="s">
        <v>879</v>
      </c>
      <c r="F431" t="s">
        <v>37</v>
      </c>
      <c r="G431" s="2">
        <v>4</v>
      </c>
      <c r="H431" s="2">
        <v>45000</v>
      </c>
      <c r="I431">
        <v>0.1</v>
      </c>
      <c r="J431" s="2">
        <v>162000</v>
      </c>
    </row>
    <row r="432" spans="1:10" x14ac:dyDescent="0.25">
      <c r="A432" t="s">
        <v>511</v>
      </c>
      <c r="B432" s="1">
        <v>45548</v>
      </c>
      <c r="C432" t="s">
        <v>475</v>
      </c>
      <c r="D432" t="s">
        <v>51</v>
      </c>
      <c r="E432" t="s">
        <v>880</v>
      </c>
      <c r="F432" t="s">
        <v>37</v>
      </c>
      <c r="G432" s="2">
        <v>4</v>
      </c>
      <c r="H432" s="2">
        <v>150000</v>
      </c>
      <c r="I432">
        <v>0.06</v>
      </c>
      <c r="J432" s="2">
        <v>564000</v>
      </c>
    </row>
    <row r="433" spans="1:10" x14ac:dyDescent="0.25">
      <c r="A433" t="s">
        <v>512</v>
      </c>
      <c r="B433" s="1">
        <v>45548</v>
      </c>
      <c r="C433" t="s">
        <v>475</v>
      </c>
      <c r="D433" t="s">
        <v>30</v>
      </c>
      <c r="E433" t="s">
        <v>879</v>
      </c>
      <c r="F433" t="s">
        <v>37</v>
      </c>
      <c r="G433" s="2">
        <v>1</v>
      </c>
      <c r="H433" s="2">
        <v>60000</v>
      </c>
      <c r="I433">
        <v>0.09</v>
      </c>
      <c r="J433" s="2">
        <v>54600</v>
      </c>
    </row>
    <row r="434" spans="1:10" x14ac:dyDescent="0.25">
      <c r="A434" t="s">
        <v>513</v>
      </c>
      <c r="B434" s="1">
        <v>45576</v>
      </c>
      <c r="C434" t="s">
        <v>475</v>
      </c>
      <c r="D434" t="s">
        <v>51</v>
      </c>
      <c r="E434" t="s">
        <v>879</v>
      </c>
      <c r="F434" t="s">
        <v>33</v>
      </c>
      <c r="G434" s="2">
        <v>4</v>
      </c>
      <c r="H434" s="2">
        <v>150000</v>
      </c>
      <c r="I434">
        <v>7.0000000000000007E-2</v>
      </c>
      <c r="J434" s="2">
        <v>558000</v>
      </c>
    </row>
    <row r="435" spans="1:10" x14ac:dyDescent="0.25">
      <c r="A435" t="s">
        <v>514</v>
      </c>
      <c r="B435" s="1">
        <v>45574</v>
      </c>
      <c r="C435" t="s">
        <v>475</v>
      </c>
      <c r="D435" t="s">
        <v>75</v>
      </c>
      <c r="E435" t="s">
        <v>878</v>
      </c>
      <c r="F435" t="s">
        <v>37</v>
      </c>
      <c r="G435" s="2">
        <v>3</v>
      </c>
      <c r="H435" s="2">
        <v>120000</v>
      </c>
      <c r="I435">
        <v>7.0000000000000007E-2</v>
      </c>
      <c r="J435" s="2">
        <v>334800</v>
      </c>
    </row>
    <row r="436" spans="1:10" x14ac:dyDescent="0.25">
      <c r="A436" t="s">
        <v>515</v>
      </c>
      <c r="B436" s="1">
        <v>45573</v>
      </c>
      <c r="C436" t="s">
        <v>475</v>
      </c>
      <c r="D436" t="s">
        <v>40</v>
      </c>
      <c r="E436" t="s">
        <v>878</v>
      </c>
      <c r="F436" t="s">
        <v>54</v>
      </c>
      <c r="G436" s="2">
        <v>1</v>
      </c>
      <c r="H436" s="2">
        <v>85000</v>
      </c>
      <c r="I436">
        <v>0.01</v>
      </c>
      <c r="J436" s="2">
        <v>84200</v>
      </c>
    </row>
    <row r="437" spans="1:10" x14ac:dyDescent="0.25">
      <c r="A437" t="s">
        <v>516</v>
      </c>
      <c r="B437" s="1">
        <v>45581</v>
      </c>
      <c r="C437" t="s">
        <v>475</v>
      </c>
      <c r="D437" t="s">
        <v>24</v>
      </c>
      <c r="E437" t="s">
        <v>880</v>
      </c>
      <c r="F437" t="s">
        <v>33</v>
      </c>
      <c r="G437" s="2">
        <v>4</v>
      </c>
      <c r="H437" s="2">
        <v>75000</v>
      </c>
      <c r="I437">
        <v>0.11</v>
      </c>
      <c r="J437" s="2">
        <v>267000</v>
      </c>
    </row>
    <row r="438" spans="1:10" x14ac:dyDescent="0.25">
      <c r="A438" t="s">
        <v>517</v>
      </c>
      <c r="B438" s="1">
        <v>45613</v>
      </c>
      <c r="C438" t="s">
        <v>475</v>
      </c>
      <c r="D438" t="s">
        <v>60</v>
      </c>
      <c r="E438" t="s">
        <v>880</v>
      </c>
      <c r="F438" t="s">
        <v>33</v>
      </c>
      <c r="G438" s="2">
        <v>3</v>
      </c>
      <c r="H438" s="2">
        <v>95000</v>
      </c>
      <c r="I438">
        <v>0.04</v>
      </c>
      <c r="J438" s="2">
        <v>273600</v>
      </c>
    </row>
    <row r="439" spans="1:10" x14ac:dyDescent="0.25">
      <c r="A439" t="s">
        <v>518</v>
      </c>
      <c r="B439" s="1">
        <v>45597</v>
      </c>
      <c r="C439" t="s">
        <v>475</v>
      </c>
      <c r="D439" t="s">
        <v>35</v>
      </c>
      <c r="E439" t="s">
        <v>880</v>
      </c>
      <c r="F439" t="s">
        <v>28</v>
      </c>
      <c r="G439" s="2">
        <v>2</v>
      </c>
      <c r="H439" s="2">
        <v>45000</v>
      </c>
      <c r="I439">
        <v>0.08</v>
      </c>
      <c r="J439" s="2">
        <v>82800</v>
      </c>
    </row>
    <row r="440" spans="1:10" x14ac:dyDescent="0.25">
      <c r="A440" t="s">
        <v>519</v>
      </c>
      <c r="B440" s="1">
        <v>45616</v>
      </c>
      <c r="C440" t="s">
        <v>475</v>
      </c>
      <c r="D440" t="s">
        <v>30</v>
      </c>
      <c r="E440" t="s">
        <v>878</v>
      </c>
      <c r="F440" t="s">
        <v>37</v>
      </c>
      <c r="G440" s="2">
        <v>5</v>
      </c>
      <c r="H440" s="2">
        <v>60000</v>
      </c>
      <c r="I440">
        <v>0.06</v>
      </c>
      <c r="J440" s="2">
        <v>282000</v>
      </c>
    </row>
    <row r="441" spans="1:10" x14ac:dyDescent="0.25">
      <c r="A441" t="s">
        <v>520</v>
      </c>
      <c r="B441" s="1">
        <v>45624</v>
      </c>
      <c r="C441" t="s">
        <v>475</v>
      </c>
      <c r="D441" t="s">
        <v>75</v>
      </c>
      <c r="E441" t="s">
        <v>877</v>
      </c>
      <c r="F441" t="s">
        <v>54</v>
      </c>
      <c r="G441" s="2">
        <v>4</v>
      </c>
      <c r="H441" s="2">
        <v>120000</v>
      </c>
      <c r="I441">
        <v>7.0000000000000007E-2</v>
      </c>
      <c r="J441" s="2">
        <v>446400</v>
      </c>
    </row>
    <row r="442" spans="1:10" x14ac:dyDescent="0.25">
      <c r="A442" t="s">
        <v>521</v>
      </c>
      <c r="B442" s="1">
        <v>45616</v>
      </c>
      <c r="C442" t="s">
        <v>475</v>
      </c>
      <c r="D442" t="s">
        <v>47</v>
      </c>
      <c r="E442" t="s">
        <v>878</v>
      </c>
      <c r="F442" t="s">
        <v>33</v>
      </c>
      <c r="G442" s="2">
        <v>5</v>
      </c>
      <c r="H442" s="2">
        <v>200000</v>
      </c>
      <c r="I442">
        <v>0.09</v>
      </c>
      <c r="J442" s="2">
        <v>910000</v>
      </c>
    </row>
    <row r="443" spans="1:10" x14ac:dyDescent="0.25">
      <c r="A443" t="s">
        <v>522</v>
      </c>
      <c r="B443" s="1">
        <v>45607</v>
      </c>
      <c r="C443" t="s">
        <v>475</v>
      </c>
      <c r="D443" t="s">
        <v>24</v>
      </c>
      <c r="E443" t="s">
        <v>880</v>
      </c>
      <c r="F443" t="s">
        <v>37</v>
      </c>
      <c r="G443" s="2">
        <v>2</v>
      </c>
      <c r="H443" s="2">
        <v>75000</v>
      </c>
      <c r="I443">
        <v>7.0000000000000007E-2</v>
      </c>
      <c r="J443" s="2">
        <v>139500</v>
      </c>
    </row>
    <row r="444" spans="1:10" x14ac:dyDescent="0.25">
      <c r="A444" t="s">
        <v>523</v>
      </c>
      <c r="B444" s="1">
        <v>45618</v>
      </c>
      <c r="C444" t="s">
        <v>475</v>
      </c>
      <c r="D444" t="s">
        <v>40</v>
      </c>
      <c r="E444" t="s">
        <v>877</v>
      </c>
      <c r="F444" t="s">
        <v>33</v>
      </c>
      <c r="G444" s="2">
        <v>5</v>
      </c>
      <c r="H444" s="2">
        <v>85000</v>
      </c>
      <c r="I444">
        <v>0.01</v>
      </c>
      <c r="J444" s="2">
        <v>420800</v>
      </c>
    </row>
    <row r="445" spans="1:10" x14ac:dyDescent="0.25">
      <c r="A445" t="s">
        <v>524</v>
      </c>
      <c r="B445" s="1">
        <v>45650</v>
      </c>
      <c r="C445" t="s">
        <v>475</v>
      </c>
      <c r="D445" t="s">
        <v>30</v>
      </c>
      <c r="E445" t="s">
        <v>879</v>
      </c>
      <c r="F445" t="s">
        <v>37</v>
      </c>
      <c r="G445" s="2">
        <v>5</v>
      </c>
      <c r="H445" s="2">
        <v>60000</v>
      </c>
      <c r="I445">
        <v>0.09</v>
      </c>
      <c r="J445" s="2">
        <v>273000</v>
      </c>
    </row>
    <row r="446" spans="1:10" x14ac:dyDescent="0.25">
      <c r="A446" t="s">
        <v>525</v>
      </c>
      <c r="B446" s="1">
        <v>45650</v>
      </c>
      <c r="C446" t="s">
        <v>475</v>
      </c>
      <c r="D446" t="s">
        <v>40</v>
      </c>
      <c r="E446" t="s">
        <v>877</v>
      </c>
      <c r="F446" t="s">
        <v>28</v>
      </c>
      <c r="G446" s="2">
        <v>1</v>
      </c>
      <c r="H446" s="2">
        <v>85000</v>
      </c>
      <c r="I446">
        <v>0.04</v>
      </c>
      <c r="J446" s="2">
        <v>81600</v>
      </c>
    </row>
    <row r="447" spans="1:10" x14ac:dyDescent="0.25">
      <c r="A447" t="s">
        <v>526</v>
      </c>
      <c r="B447" s="1">
        <v>45640</v>
      </c>
      <c r="C447" t="s">
        <v>475</v>
      </c>
      <c r="D447" t="s">
        <v>75</v>
      </c>
      <c r="E447" t="s">
        <v>880</v>
      </c>
      <c r="F447" t="s">
        <v>33</v>
      </c>
      <c r="G447" s="2">
        <v>2</v>
      </c>
      <c r="H447" s="2">
        <v>120000</v>
      </c>
      <c r="I447">
        <v>0.09</v>
      </c>
      <c r="J447" s="2">
        <v>218400</v>
      </c>
    </row>
    <row r="448" spans="1:10" x14ac:dyDescent="0.25">
      <c r="A448" t="s">
        <v>527</v>
      </c>
      <c r="B448" s="1">
        <v>45651</v>
      </c>
      <c r="C448" t="s">
        <v>475</v>
      </c>
      <c r="D448" t="s">
        <v>30</v>
      </c>
      <c r="E448" t="s">
        <v>877</v>
      </c>
      <c r="F448" t="s">
        <v>28</v>
      </c>
      <c r="G448" s="2">
        <v>5</v>
      </c>
      <c r="H448" s="2">
        <v>60000</v>
      </c>
      <c r="I448">
        <v>0.05</v>
      </c>
      <c r="J448" s="2">
        <v>285000</v>
      </c>
    </row>
    <row r="449" spans="1:10" x14ac:dyDescent="0.25">
      <c r="A449" t="s">
        <v>528</v>
      </c>
      <c r="B449" s="1">
        <v>45645</v>
      </c>
      <c r="C449" t="s">
        <v>475</v>
      </c>
      <c r="D449" t="s">
        <v>60</v>
      </c>
      <c r="E449" t="s">
        <v>877</v>
      </c>
      <c r="F449" t="s">
        <v>33</v>
      </c>
      <c r="G449" s="2">
        <v>2</v>
      </c>
      <c r="H449" s="2">
        <v>95000</v>
      </c>
      <c r="I449">
        <v>0.12</v>
      </c>
      <c r="J449" s="2">
        <v>167200</v>
      </c>
    </row>
    <row r="450" spans="1:10" x14ac:dyDescent="0.25">
      <c r="A450" t="s">
        <v>529</v>
      </c>
      <c r="B450" s="1">
        <v>45633</v>
      </c>
      <c r="C450" t="s">
        <v>475</v>
      </c>
      <c r="D450" t="s">
        <v>60</v>
      </c>
      <c r="E450" t="s">
        <v>879</v>
      </c>
      <c r="F450" t="s">
        <v>54</v>
      </c>
      <c r="G450" s="2">
        <v>4</v>
      </c>
      <c r="H450" s="2">
        <v>95000</v>
      </c>
      <c r="I450">
        <v>0.01</v>
      </c>
      <c r="J450" s="2">
        <v>376200</v>
      </c>
    </row>
    <row r="451" spans="1:10" x14ac:dyDescent="0.25">
      <c r="A451" t="s">
        <v>530</v>
      </c>
      <c r="B451" s="1">
        <v>45645</v>
      </c>
      <c r="C451" t="s">
        <v>475</v>
      </c>
      <c r="D451" t="s">
        <v>24</v>
      </c>
      <c r="E451" t="s">
        <v>878</v>
      </c>
      <c r="F451" t="s">
        <v>37</v>
      </c>
      <c r="G451" s="2">
        <v>5</v>
      </c>
      <c r="H451" s="2">
        <v>75000</v>
      </c>
      <c r="I451">
        <v>0.02</v>
      </c>
      <c r="J451" s="2">
        <v>367500</v>
      </c>
    </row>
    <row r="452" spans="1:10" x14ac:dyDescent="0.25">
      <c r="A452" t="s">
        <v>531</v>
      </c>
      <c r="B452" s="1">
        <v>45633</v>
      </c>
      <c r="C452" t="s">
        <v>475</v>
      </c>
      <c r="D452" t="s">
        <v>60</v>
      </c>
      <c r="E452" t="s">
        <v>878</v>
      </c>
      <c r="F452" t="s">
        <v>54</v>
      </c>
      <c r="G452" s="2">
        <v>5</v>
      </c>
      <c r="H452" s="2">
        <v>95000</v>
      </c>
      <c r="I452">
        <v>0.06</v>
      </c>
      <c r="J452" s="2">
        <v>446500</v>
      </c>
    </row>
    <row r="453" spans="1:10" x14ac:dyDescent="0.25">
      <c r="A453" t="s">
        <v>532</v>
      </c>
      <c r="B453" s="1">
        <v>45292</v>
      </c>
      <c r="C453" t="s">
        <v>533</v>
      </c>
      <c r="D453" t="s">
        <v>30</v>
      </c>
      <c r="E453" t="s">
        <v>879</v>
      </c>
      <c r="F453" t="s">
        <v>33</v>
      </c>
      <c r="G453" s="2">
        <v>1</v>
      </c>
      <c r="H453" s="2">
        <v>60000</v>
      </c>
      <c r="I453">
        <v>7.0000000000000007E-2</v>
      </c>
      <c r="J453" s="2">
        <v>55800</v>
      </c>
    </row>
    <row r="454" spans="1:10" x14ac:dyDescent="0.25">
      <c r="A454" t="s">
        <v>535</v>
      </c>
      <c r="B454" s="1">
        <v>45295</v>
      </c>
      <c r="C454" t="s">
        <v>533</v>
      </c>
      <c r="D454" t="s">
        <v>30</v>
      </c>
      <c r="E454" t="s">
        <v>877</v>
      </c>
      <c r="F454" t="s">
        <v>28</v>
      </c>
      <c r="G454" s="2">
        <v>3</v>
      </c>
      <c r="H454" s="2">
        <v>60000</v>
      </c>
      <c r="I454">
        <v>0.18</v>
      </c>
      <c r="J454" s="2">
        <v>147600</v>
      </c>
    </row>
    <row r="455" spans="1:10" x14ac:dyDescent="0.25">
      <c r="A455" t="s">
        <v>536</v>
      </c>
      <c r="B455" s="1">
        <v>45296</v>
      </c>
      <c r="C455" t="s">
        <v>533</v>
      </c>
      <c r="D455" t="s">
        <v>75</v>
      </c>
      <c r="E455" t="s">
        <v>879</v>
      </c>
      <c r="F455" t="s">
        <v>37</v>
      </c>
      <c r="G455" s="2">
        <v>3</v>
      </c>
      <c r="H455" s="2">
        <v>120000</v>
      </c>
      <c r="I455">
        <v>0.15</v>
      </c>
      <c r="J455" s="2">
        <v>306000</v>
      </c>
    </row>
    <row r="456" spans="1:10" x14ac:dyDescent="0.25">
      <c r="A456" t="s">
        <v>537</v>
      </c>
      <c r="B456" s="1">
        <v>45318</v>
      </c>
      <c r="C456" t="s">
        <v>533</v>
      </c>
      <c r="D456" t="s">
        <v>60</v>
      </c>
      <c r="E456" t="s">
        <v>879</v>
      </c>
      <c r="F456" t="s">
        <v>54</v>
      </c>
      <c r="G456" s="2">
        <v>1</v>
      </c>
      <c r="H456" s="2">
        <v>95000</v>
      </c>
      <c r="I456">
        <v>0.11</v>
      </c>
      <c r="J456" s="2">
        <v>84600</v>
      </c>
    </row>
    <row r="457" spans="1:10" x14ac:dyDescent="0.25">
      <c r="A457" t="s">
        <v>538</v>
      </c>
      <c r="B457" s="1">
        <v>45318</v>
      </c>
      <c r="C457" t="s">
        <v>533</v>
      </c>
      <c r="D457" t="s">
        <v>30</v>
      </c>
      <c r="E457" t="s">
        <v>879</v>
      </c>
      <c r="F457" t="s">
        <v>54</v>
      </c>
      <c r="G457" s="2">
        <v>4</v>
      </c>
      <c r="H457" s="2">
        <v>60000</v>
      </c>
      <c r="I457">
        <v>0.15</v>
      </c>
      <c r="J457" s="2">
        <v>204000</v>
      </c>
    </row>
    <row r="458" spans="1:10" x14ac:dyDescent="0.25">
      <c r="A458" t="s">
        <v>539</v>
      </c>
      <c r="B458" s="1">
        <v>45295</v>
      </c>
      <c r="C458" t="s">
        <v>533</v>
      </c>
      <c r="D458" t="s">
        <v>75</v>
      </c>
      <c r="E458" t="s">
        <v>879</v>
      </c>
      <c r="F458" t="s">
        <v>37</v>
      </c>
      <c r="G458" s="2">
        <v>1</v>
      </c>
      <c r="H458" s="2">
        <v>120000</v>
      </c>
      <c r="I458">
        <v>0.13</v>
      </c>
      <c r="J458" s="2">
        <v>104400</v>
      </c>
    </row>
    <row r="459" spans="1:10" x14ac:dyDescent="0.25">
      <c r="A459" t="s">
        <v>540</v>
      </c>
      <c r="B459" s="1">
        <v>45309</v>
      </c>
      <c r="C459" t="s">
        <v>533</v>
      </c>
      <c r="D459" t="s">
        <v>30</v>
      </c>
      <c r="E459" t="s">
        <v>877</v>
      </c>
      <c r="F459" t="s">
        <v>33</v>
      </c>
      <c r="G459" s="2">
        <v>4</v>
      </c>
      <c r="H459" s="2">
        <v>60000</v>
      </c>
      <c r="I459">
        <v>0.1</v>
      </c>
      <c r="J459" s="2">
        <v>216000</v>
      </c>
    </row>
    <row r="460" spans="1:10" x14ac:dyDescent="0.25">
      <c r="A460" t="s">
        <v>541</v>
      </c>
      <c r="B460" s="1">
        <v>45348</v>
      </c>
      <c r="C460" t="s">
        <v>533</v>
      </c>
      <c r="D460" t="s">
        <v>30</v>
      </c>
      <c r="E460" t="s">
        <v>877</v>
      </c>
      <c r="F460" t="s">
        <v>28</v>
      </c>
      <c r="G460" s="2">
        <v>1</v>
      </c>
      <c r="H460" s="2">
        <v>60000</v>
      </c>
      <c r="I460">
        <v>0.17</v>
      </c>
      <c r="J460" s="2">
        <v>49800</v>
      </c>
    </row>
    <row r="461" spans="1:10" x14ac:dyDescent="0.25">
      <c r="A461" t="s">
        <v>542</v>
      </c>
      <c r="B461" s="1">
        <v>45332</v>
      </c>
      <c r="C461" t="s">
        <v>533</v>
      </c>
      <c r="D461" t="s">
        <v>75</v>
      </c>
      <c r="E461" t="s">
        <v>879</v>
      </c>
      <c r="F461" t="s">
        <v>54</v>
      </c>
      <c r="G461" s="2">
        <v>3</v>
      </c>
      <c r="H461" s="2">
        <v>120000</v>
      </c>
      <c r="I461">
        <v>0.08</v>
      </c>
      <c r="J461" s="2">
        <v>331200</v>
      </c>
    </row>
    <row r="462" spans="1:10" x14ac:dyDescent="0.25">
      <c r="A462" t="s">
        <v>543</v>
      </c>
      <c r="B462" s="1">
        <v>45345</v>
      </c>
      <c r="C462" t="s">
        <v>533</v>
      </c>
      <c r="D462" t="s">
        <v>75</v>
      </c>
      <c r="E462" t="s">
        <v>879</v>
      </c>
      <c r="F462" t="s">
        <v>28</v>
      </c>
      <c r="G462" s="2">
        <v>2</v>
      </c>
      <c r="H462" s="2">
        <v>120000</v>
      </c>
      <c r="I462">
        <v>0.06</v>
      </c>
      <c r="J462" s="2">
        <v>225600</v>
      </c>
    </row>
    <row r="463" spans="1:10" x14ac:dyDescent="0.25">
      <c r="A463" t="s">
        <v>544</v>
      </c>
      <c r="B463" s="1">
        <v>45338</v>
      </c>
      <c r="C463" t="s">
        <v>533</v>
      </c>
      <c r="D463" t="s">
        <v>30</v>
      </c>
      <c r="E463" t="s">
        <v>880</v>
      </c>
      <c r="F463" t="s">
        <v>37</v>
      </c>
      <c r="G463" s="2">
        <v>5</v>
      </c>
      <c r="H463" s="2">
        <v>60000</v>
      </c>
      <c r="I463">
        <v>0.19</v>
      </c>
      <c r="J463" s="2">
        <v>243000</v>
      </c>
    </row>
    <row r="464" spans="1:10" x14ac:dyDescent="0.25">
      <c r="A464" t="s">
        <v>545</v>
      </c>
      <c r="B464" s="1">
        <v>45342</v>
      </c>
      <c r="C464" t="s">
        <v>533</v>
      </c>
      <c r="D464" t="s">
        <v>40</v>
      </c>
      <c r="E464" t="s">
        <v>879</v>
      </c>
      <c r="F464" t="s">
        <v>28</v>
      </c>
      <c r="G464" s="2">
        <v>5</v>
      </c>
      <c r="H464" s="2">
        <v>85000</v>
      </c>
      <c r="I464">
        <v>0.13</v>
      </c>
      <c r="J464" s="2">
        <v>369800</v>
      </c>
    </row>
    <row r="465" spans="1:10" x14ac:dyDescent="0.25">
      <c r="A465" t="s">
        <v>546</v>
      </c>
      <c r="B465" s="1">
        <v>45345</v>
      </c>
      <c r="C465" t="s">
        <v>533</v>
      </c>
      <c r="D465" t="s">
        <v>24</v>
      </c>
      <c r="E465" t="s">
        <v>879</v>
      </c>
      <c r="F465" t="s">
        <v>33</v>
      </c>
      <c r="G465" s="2">
        <v>4</v>
      </c>
      <c r="H465" s="2">
        <v>75000</v>
      </c>
      <c r="I465">
        <v>0.14000000000000001</v>
      </c>
      <c r="J465" s="2">
        <v>258000</v>
      </c>
    </row>
    <row r="466" spans="1:10" x14ac:dyDescent="0.25">
      <c r="A466" t="s">
        <v>547</v>
      </c>
      <c r="B466" s="1">
        <v>45370</v>
      </c>
      <c r="C466" t="s">
        <v>533</v>
      </c>
      <c r="D466" t="s">
        <v>35</v>
      </c>
      <c r="E466" t="s">
        <v>879</v>
      </c>
      <c r="F466" t="s">
        <v>37</v>
      </c>
      <c r="G466" s="2">
        <v>1</v>
      </c>
      <c r="H466" s="2">
        <v>45000</v>
      </c>
      <c r="I466">
        <v>0.17</v>
      </c>
      <c r="J466" s="2">
        <v>37400</v>
      </c>
    </row>
    <row r="467" spans="1:10" x14ac:dyDescent="0.25">
      <c r="A467" t="s">
        <v>548</v>
      </c>
      <c r="B467" s="1">
        <v>45375</v>
      </c>
      <c r="C467" t="s">
        <v>533</v>
      </c>
      <c r="D467" t="s">
        <v>40</v>
      </c>
      <c r="E467" t="s">
        <v>878</v>
      </c>
      <c r="F467" t="s">
        <v>54</v>
      </c>
      <c r="G467" s="2">
        <v>1</v>
      </c>
      <c r="H467" s="2">
        <v>85000</v>
      </c>
      <c r="I467">
        <v>0.06</v>
      </c>
      <c r="J467" s="2">
        <v>79900</v>
      </c>
    </row>
    <row r="468" spans="1:10" x14ac:dyDescent="0.25">
      <c r="A468" t="s">
        <v>549</v>
      </c>
      <c r="B468" s="1">
        <v>45353</v>
      </c>
      <c r="C468" t="s">
        <v>533</v>
      </c>
      <c r="D468" t="s">
        <v>47</v>
      </c>
      <c r="E468" t="s">
        <v>880</v>
      </c>
      <c r="F468" t="s">
        <v>33</v>
      </c>
      <c r="G468" s="2">
        <v>2</v>
      </c>
      <c r="H468" s="2">
        <v>200000</v>
      </c>
      <c r="I468">
        <v>0.05</v>
      </c>
      <c r="J468" s="2">
        <v>380000</v>
      </c>
    </row>
    <row r="469" spans="1:10" x14ac:dyDescent="0.25">
      <c r="A469" t="s">
        <v>550</v>
      </c>
      <c r="B469" s="1">
        <v>45362</v>
      </c>
      <c r="C469" t="s">
        <v>533</v>
      </c>
      <c r="D469" t="s">
        <v>51</v>
      </c>
      <c r="E469" t="s">
        <v>880</v>
      </c>
      <c r="F469" t="s">
        <v>33</v>
      </c>
      <c r="G469" s="2">
        <v>3</v>
      </c>
      <c r="H469" s="2">
        <v>150000</v>
      </c>
      <c r="I469">
        <v>0.13</v>
      </c>
      <c r="J469" s="2">
        <v>391500</v>
      </c>
    </row>
    <row r="470" spans="1:10" x14ac:dyDescent="0.25">
      <c r="A470" t="s">
        <v>551</v>
      </c>
      <c r="B470" s="1">
        <v>45356</v>
      </c>
      <c r="C470" t="s">
        <v>533</v>
      </c>
      <c r="D470" t="s">
        <v>47</v>
      </c>
      <c r="E470" t="s">
        <v>880</v>
      </c>
      <c r="F470" t="s">
        <v>54</v>
      </c>
      <c r="G470" s="2">
        <v>3</v>
      </c>
      <c r="H470" s="2">
        <v>200000</v>
      </c>
      <c r="I470">
        <v>0.11</v>
      </c>
      <c r="J470" s="2">
        <v>534000</v>
      </c>
    </row>
    <row r="471" spans="1:10" x14ac:dyDescent="0.25">
      <c r="A471" t="s">
        <v>552</v>
      </c>
      <c r="B471" s="1">
        <v>45377</v>
      </c>
      <c r="C471" t="s">
        <v>533</v>
      </c>
      <c r="D471" t="s">
        <v>40</v>
      </c>
      <c r="E471" t="s">
        <v>880</v>
      </c>
      <c r="F471" t="s">
        <v>33</v>
      </c>
      <c r="G471" s="2">
        <v>5</v>
      </c>
      <c r="H471" s="2">
        <v>85000</v>
      </c>
      <c r="I471">
        <v>0.06</v>
      </c>
      <c r="J471" s="2">
        <v>399500</v>
      </c>
    </row>
    <row r="472" spans="1:10" x14ac:dyDescent="0.25">
      <c r="A472" t="s">
        <v>553</v>
      </c>
      <c r="B472" s="1">
        <v>45370</v>
      </c>
      <c r="C472" t="s">
        <v>533</v>
      </c>
      <c r="D472" t="s">
        <v>30</v>
      </c>
      <c r="E472" t="s">
        <v>879</v>
      </c>
      <c r="F472" t="s">
        <v>54</v>
      </c>
      <c r="G472" s="2">
        <v>3</v>
      </c>
      <c r="H472" s="2">
        <v>60000</v>
      </c>
      <c r="I472">
        <v>0.16</v>
      </c>
      <c r="J472" s="2">
        <v>151200</v>
      </c>
    </row>
    <row r="473" spans="1:10" x14ac:dyDescent="0.25">
      <c r="A473" t="s">
        <v>554</v>
      </c>
      <c r="B473" s="1">
        <v>45359</v>
      </c>
      <c r="C473" t="s">
        <v>533</v>
      </c>
      <c r="D473" t="s">
        <v>40</v>
      </c>
      <c r="E473" t="s">
        <v>877</v>
      </c>
      <c r="F473" t="s">
        <v>37</v>
      </c>
      <c r="G473" s="2">
        <v>2</v>
      </c>
      <c r="H473" s="2">
        <v>85000</v>
      </c>
      <c r="I473">
        <v>0.16</v>
      </c>
      <c r="J473" s="2">
        <v>142800</v>
      </c>
    </row>
    <row r="474" spans="1:10" x14ac:dyDescent="0.25">
      <c r="A474" t="s">
        <v>555</v>
      </c>
      <c r="B474" s="1">
        <v>45389</v>
      </c>
      <c r="C474" t="s">
        <v>533</v>
      </c>
      <c r="D474" t="s">
        <v>60</v>
      </c>
      <c r="E474" t="s">
        <v>879</v>
      </c>
      <c r="F474" t="s">
        <v>33</v>
      </c>
      <c r="G474" s="2">
        <v>3</v>
      </c>
      <c r="H474" s="2">
        <v>95000</v>
      </c>
      <c r="I474">
        <v>0.12</v>
      </c>
      <c r="J474" s="2">
        <v>250800</v>
      </c>
    </row>
    <row r="475" spans="1:10" x14ac:dyDescent="0.25">
      <c r="A475" t="s">
        <v>556</v>
      </c>
      <c r="B475" s="1">
        <v>45408</v>
      </c>
      <c r="C475" t="s">
        <v>533</v>
      </c>
      <c r="D475" t="s">
        <v>75</v>
      </c>
      <c r="E475" t="s">
        <v>878</v>
      </c>
      <c r="F475" t="s">
        <v>33</v>
      </c>
      <c r="G475" s="2">
        <v>3</v>
      </c>
      <c r="H475" s="2">
        <v>120000</v>
      </c>
      <c r="I475">
        <v>0.12</v>
      </c>
      <c r="J475" s="2">
        <v>316800</v>
      </c>
    </row>
    <row r="476" spans="1:10" x14ac:dyDescent="0.25">
      <c r="A476" t="s">
        <v>557</v>
      </c>
      <c r="B476" s="1">
        <v>45410</v>
      </c>
      <c r="C476" t="s">
        <v>533</v>
      </c>
      <c r="D476" t="s">
        <v>35</v>
      </c>
      <c r="E476" t="s">
        <v>877</v>
      </c>
      <c r="F476" t="s">
        <v>28</v>
      </c>
      <c r="G476" s="2">
        <v>5</v>
      </c>
      <c r="H476" s="2">
        <v>45000</v>
      </c>
      <c r="I476">
        <v>0.12</v>
      </c>
      <c r="J476" s="2">
        <v>198000</v>
      </c>
    </row>
    <row r="477" spans="1:10" x14ac:dyDescent="0.25">
      <c r="A477" t="s">
        <v>558</v>
      </c>
      <c r="B477" s="1">
        <v>45384</v>
      </c>
      <c r="C477" t="s">
        <v>533</v>
      </c>
      <c r="D477" t="s">
        <v>60</v>
      </c>
      <c r="E477" t="s">
        <v>879</v>
      </c>
      <c r="F477" t="s">
        <v>28</v>
      </c>
      <c r="G477" s="2">
        <v>4</v>
      </c>
      <c r="H477" s="2">
        <v>95000</v>
      </c>
      <c r="I477">
        <v>0.2</v>
      </c>
      <c r="J477" s="2">
        <v>304000</v>
      </c>
    </row>
    <row r="478" spans="1:10" x14ac:dyDescent="0.25">
      <c r="A478" t="s">
        <v>559</v>
      </c>
      <c r="B478" s="1">
        <v>45435</v>
      </c>
      <c r="C478" t="s">
        <v>533</v>
      </c>
      <c r="D478" t="s">
        <v>75</v>
      </c>
      <c r="E478" t="s">
        <v>880</v>
      </c>
      <c r="F478" t="s">
        <v>54</v>
      </c>
      <c r="G478" s="2">
        <v>4</v>
      </c>
      <c r="H478" s="2">
        <v>120000</v>
      </c>
      <c r="I478">
        <v>0.08</v>
      </c>
      <c r="J478" s="2">
        <v>441600</v>
      </c>
    </row>
    <row r="479" spans="1:10" x14ac:dyDescent="0.25">
      <c r="A479" t="s">
        <v>560</v>
      </c>
      <c r="B479" s="1">
        <v>45416</v>
      </c>
      <c r="C479" t="s">
        <v>533</v>
      </c>
      <c r="D479" t="s">
        <v>35</v>
      </c>
      <c r="E479" t="s">
        <v>878</v>
      </c>
      <c r="F479" t="s">
        <v>28</v>
      </c>
      <c r="G479" s="2">
        <v>4</v>
      </c>
      <c r="H479" s="2">
        <v>45000</v>
      </c>
      <c r="I479">
        <v>0.06</v>
      </c>
      <c r="J479" s="2">
        <v>169200</v>
      </c>
    </row>
    <row r="480" spans="1:10" x14ac:dyDescent="0.25">
      <c r="A480" t="s">
        <v>561</v>
      </c>
      <c r="B480" s="1">
        <v>45435</v>
      </c>
      <c r="C480" t="s">
        <v>533</v>
      </c>
      <c r="D480" t="s">
        <v>24</v>
      </c>
      <c r="E480" t="s">
        <v>880</v>
      </c>
      <c r="F480" t="s">
        <v>33</v>
      </c>
      <c r="G480" s="2">
        <v>4</v>
      </c>
      <c r="H480" s="2">
        <v>75000</v>
      </c>
      <c r="I480">
        <v>0.13</v>
      </c>
      <c r="J480" s="2">
        <v>261000</v>
      </c>
    </row>
    <row r="481" spans="1:10" x14ac:dyDescent="0.25">
      <c r="A481" t="s">
        <v>562</v>
      </c>
      <c r="B481" s="1">
        <v>45425</v>
      </c>
      <c r="C481" t="s">
        <v>533</v>
      </c>
      <c r="D481" t="s">
        <v>47</v>
      </c>
      <c r="E481" t="s">
        <v>877</v>
      </c>
      <c r="F481" t="s">
        <v>33</v>
      </c>
      <c r="G481" s="2">
        <v>3</v>
      </c>
      <c r="H481" s="2">
        <v>200000</v>
      </c>
      <c r="I481">
        <v>0.12</v>
      </c>
      <c r="J481" s="2">
        <v>528000</v>
      </c>
    </row>
    <row r="482" spans="1:10" x14ac:dyDescent="0.25">
      <c r="A482" t="s">
        <v>563</v>
      </c>
      <c r="B482" s="1">
        <v>45460</v>
      </c>
      <c r="C482" t="s">
        <v>533</v>
      </c>
      <c r="D482" t="s">
        <v>60</v>
      </c>
      <c r="E482" t="s">
        <v>879</v>
      </c>
      <c r="F482" t="s">
        <v>54</v>
      </c>
      <c r="G482" s="2">
        <v>1</v>
      </c>
      <c r="H482" s="2">
        <v>95000</v>
      </c>
      <c r="I482">
        <v>0.15</v>
      </c>
      <c r="J482" s="2">
        <v>80800</v>
      </c>
    </row>
    <row r="483" spans="1:10" x14ac:dyDescent="0.25">
      <c r="A483" t="s">
        <v>564</v>
      </c>
      <c r="B483" s="1">
        <v>45445</v>
      </c>
      <c r="C483" t="s">
        <v>533</v>
      </c>
      <c r="D483" t="s">
        <v>47</v>
      </c>
      <c r="E483" t="s">
        <v>878</v>
      </c>
      <c r="F483" t="s">
        <v>33</v>
      </c>
      <c r="G483" s="2">
        <v>5</v>
      </c>
      <c r="H483" s="2">
        <v>200000</v>
      </c>
      <c r="I483">
        <v>0.18</v>
      </c>
      <c r="J483" s="2">
        <v>820000</v>
      </c>
    </row>
    <row r="484" spans="1:10" x14ac:dyDescent="0.25">
      <c r="A484" t="s">
        <v>565</v>
      </c>
      <c r="B484" s="1">
        <v>45462</v>
      </c>
      <c r="C484" t="s">
        <v>533</v>
      </c>
      <c r="D484" t="s">
        <v>24</v>
      </c>
      <c r="E484" t="s">
        <v>879</v>
      </c>
      <c r="F484" t="s">
        <v>28</v>
      </c>
      <c r="G484" s="2">
        <v>2</v>
      </c>
      <c r="H484" s="2">
        <v>75000</v>
      </c>
      <c r="I484">
        <v>0.08</v>
      </c>
      <c r="J484" s="2">
        <v>138000</v>
      </c>
    </row>
    <row r="485" spans="1:10" x14ac:dyDescent="0.25">
      <c r="A485" t="s">
        <v>566</v>
      </c>
      <c r="B485" s="1">
        <v>45447</v>
      </c>
      <c r="C485" t="s">
        <v>533</v>
      </c>
      <c r="D485" t="s">
        <v>51</v>
      </c>
      <c r="E485" t="s">
        <v>877</v>
      </c>
      <c r="F485" t="s">
        <v>28</v>
      </c>
      <c r="G485" s="2">
        <v>3</v>
      </c>
      <c r="H485" s="2">
        <v>150000</v>
      </c>
      <c r="I485">
        <v>0.16</v>
      </c>
      <c r="J485" s="2">
        <v>378000</v>
      </c>
    </row>
    <row r="486" spans="1:10" x14ac:dyDescent="0.25">
      <c r="A486" t="s">
        <v>567</v>
      </c>
      <c r="B486" s="1">
        <v>45462</v>
      </c>
      <c r="C486" t="s">
        <v>533</v>
      </c>
      <c r="D486" t="s">
        <v>60</v>
      </c>
      <c r="E486" t="s">
        <v>877</v>
      </c>
      <c r="F486" t="s">
        <v>37</v>
      </c>
      <c r="G486" s="2">
        <v>3</v>
      </c>
      <c r="H486" s="2">
        <v>95000</v>
      </c>
      <c r="I486">
        <v>0.16</v>
      </c>
      <c r="J486" s="2">
        <v>239400</v>
      </c>
    </row>
    <row r="487" spans="1:10" x14ac:dyDescent="0.25">
      <c r="A487" t="s">
        <v>568</v>
      </c>
      <c r="B487" s="1">
        <v>45460</v>
      </c>
      <c r="C487" t="s">
        <v>533</v>
      </c>
      <c r="D487" t="s">
        <v>40</v>
      </c>
      <c r="E487" t="s">
        <v>877</v>
      </c>
      <c r="F487" t="s">
        <v>54</v>
      </c>
      <c r="G487" s="2">
        <v>4</v>
      </c>
      <c r="H487" s="2">
        <v>85000</v>
      </c>
      <c r="I487">
        <v>0.15</v>
      </c>
      <c r="J487" s="2">
        <v>289000</v>
      </c>
    </row>
    <row r="488" spans="1:10" x14ac:dyDescent="0.25">
      <c r="A488" t="s">
        <v>569</v>
      </c>
      <c r="B488" s="1">
        <v>45496</v>
      </c>
      <c r="C488" t="s">
        <v>533</v>
      </c>
      <c r="D488" t="s">
        <v>40</v>
      </c>
      <c r="E488" t="s">
        <v>879</v>
      </c>
      <c r="F488" t="s">
        <v>33</v>
      </c>
      <c r="G488" s="2">
        <v>2</v>
      </c>
      <c r="H488" s="2">
        <v>85000</v>
      </c>
      <c r="I488">
        <v>0.05</v>
      </c>
      <c r="J488" s="2">
        <v>161500</v>
      </c>
    </row>
    <row r="489" spans="1:10" x14ac:dyDescent="0.25">
      <c r="A489" t="s">
        <v>570</v>
      </c>
      <c r="B489" s="1">
        <v>45476</v>
      </c>
      <c r="C489" t="s">
        <v>533</v>
      </c>
      <c r="D489" t="s">
        <v>35</v>
      </c>
      <c r="E489" t="s">
        <v>880</v>
      </c>
      <c r="F489" t="s">
        <v>33</v>
      </c>
      <c r="G489" s="2">
        <v>2</v>
      </c>
      <c r="H489" s="2">
        <v>45000</v>
      </c>
      <c r="I489">
        <v>7.0000000000000007E-2</v>
      </c>
      <c r="J489" s="2">
        <v>83700</v>
      </c>
    </row>
    <row r="490" spans="1:10" x14ac:dyDescent="0.25">
      <c r="A490" t="s">
        <v>571</v>
      </c>
      <c r="B490" s="1">
        <v>45482</v>
      </c>
      <c r="C490" t="s">
        <v>533</v>
      </c>
      <c r="D490" t="s">
        <v>40</v>
      </c>
      <c r="E490" t="s">
        <v>878</v>
      </c>
      <c r="F490" t="s">
        <v>37</v>
      </c>
      <c r="G490" s="2">
        <v>1</v>
      </c>
      <c r="H490" s="2">
        <v>85000</v>
      </c>
      <c r="I490">
        <v>0.14000000000000001</v>
      </c>
      <c r="J490" s="2">
        <v>73100</v>
      </c>
    </row>
    <row r="491" spans="1:10" x14ac:dyDescent="0.25">
      <c r="A491" t="s">
        <v>572</v>
      </c>
      <c r="B491" s="1">
        <v>45494</v>
      </c>
      <c r="C491" t="s">
        <v>533</v>
      </c>
      <c r="D491" t="s">
        <v>47</v>
      </c>
      <c r="E491" t="s">
        <v>877</v>
      </c>
      <c r="F491" t="s">
        <v>37</v>
      </c>
      <c r="G491" s="2">
        <v>5</v>
      </c>
      <c r="H491" s="2">
        <v>200000</v>
      </c>
      <c r="I491">
        <v>0.06</v>
      </c>
      <c r="J491" s="2">
        <v>940000</v>
      </c>
    </row>
    <row r="492" spans="1:10" x14ac:dyDescent="0.25">
      <c r="A492" t="s">
        <v>573</v>
      </c>
      <c r="B492" s="1">
        <v>45475</v>
      </c>
      <c r="C492" t="s">
        <v>533</v>
      </c>
      <c r="D492" t="s">
        <v>47</v>
      </c>
      <c r="E492" t="s">
        <v>880</v>
      </c>
      <c r="F492" t="s">
        <v>33</v>
      </c>
      <c r="G492" s="2">
        <v>4</v>
      </c>
      <c r="H492" s="2">
        <v>200000</v>
      </c>
      <c r="I492">
        <v>0.06</v>
      </c>
      <c r="J492" s="2">
        <v>752000</v>
      </c>
    </row>
    <row r="493" spans="1:10" x14ac:dyDescent="0.25">
      <c r="A493" t="s">
        <v>574</v>
      </c>
      <c r="B493" s="1">
        <v>45523</v>
      </c>
      <c r="C493" t="s">
        <v>533</v>
      </c>
      <c r="D493" t="s">
        <v>24</v>
      </c>
      <c r="E493" t="s">
        <v>879</v>
      </c>
      <c r="F493" t="s">
        <v>54</v>
      </c>
      <c r="G493" s="2">
        <v>3</v>
      </c>
      <c r="H493" s="2">
        <v>75000</v>
      </c>
      <c r="I493">
        <v>0.09</v>
      </c>
      <c r="J493" s="2">
        <v>204800</v>
      </c>
    </row>
    <row r="494" spans="1:10" x14ac:dyDescent="0.25">
      <c r="A494" t="s">
        <v>575</v>
      </c>
      <c r="B494" s="1">
        <v>45513</v>
      </c>
      <c r="C494" t="s">
        <v>533</v>
      </c>
      <c r="D494" t="s">
        <v>30</v>
      </c>
      <c r="E494" t="s">
        <v>880</v>
      </c>
      <c r="F494" t="s">
        <v>37</v>
      </c>
      <c r="G494" s="2">
        <v>5</v>
      </c>
      <c r="H494" s="2">
        <v>60000</v>
      </c>
      <c r="I494">
        <v>0.15</v>
      </c>
      <c r="J494" s="2">
        <v>255000</v>
      </c>
    </row>
    <row r="495" spans="1:10" x14ac:dyDescent="0.25">
      <c r="A495" t="s">
        <v>576</v>
      </c>
      <c r="B495" s="1">
        <v>45508</v>
      </c>
      <c r="C495" t="s">
        <v>533</v>
      </c>
      <c r="D495" t="s">
        <v>47</v>
      </c>
      <c r="E495" t="s">
        <v>880</v>
      </c>
      <c r="F495" t="s">
        <v>28</v>
      </c>
      <c r="G495" s="2">
        <v>4</v>
      </c>
      <c r="H495" s="2">
        <v>200000</v>
      </c>
      <c r="I495">
        <v>0.17</v>
      </c>
      <c r="J495" s="2">
        <v>664000</v>
      </c>
    </row>
    <row r="496" spans="1:10" x14ac:dyDescent="0.25">
      <c r="A496" t="s">
        <v>577</v>
      </c>
      <c r="B496" s="1">
        <v>45526</v>
      </c>
      <c r="C496" t="s">
        <v>533</v>
      </c>
      <c r="D496" t="s">
        <v>30</v>
      </c>
      <c r="E496" t="s">
        <v>879</v>
      </c>
      <c r="F496" t="s">
        <v>54</v>
      </c>
      <c r="G496" s="2">
        <v>4</v>
      </c>
      <c r="H496" s="2">
        <v>60000</v>
      </c>
      <c r="I496">
        <v>0.15</v>
      </c>
      <c r="J496" s="2">
        <v>204000</v>
      </c>
    </row>
    <row r="497" spans="1:10" x14ac:dyDescent="0.25">
      <c r="A497" t="s">
        <v>578</v>
      </c>
      <c r="B497" s="1">
        <v>45508</v>
      </c>
      <c r="C497" t="s">
        <v>533</v>
      </c>
      <c r="D497" t="s">
        <v>30</v>
      </c>
      <c r="E497" t="s">
        <v>879</v>
      </c>
      <c r="F497" t="s">
        <v>33</v>
      </c>
      <c r="G497" s="2">
        <v>5</v>
      </c>
      <c r="H497" s="2">
        <v>60000</v>
      </c>
      <c r="I497">
        <v>0.09</v>
      </c>
      <c r="J497" s="2">
        <v>273000</v>
      </c>
    </row>
    <row r="498" spans="1:10" x14ac:dyDescent="0.25">
      <c r="A498" t="s">
        <v>579</v>
      </c>
      <c r="B498" s="1">
        <v>45520</v>
      </c>
      <c r="C498" t="s">
        <v>533</v>
      </c>
      <c r="D498" t="s">
        <v>24</v>
      </c>
      <c r="E498" t="s">
        <v>879</v>
      </c>
      <c r="F498" t="s">
        <v>54</v>
      </c>
      <c r="G498" s="2">
        <v>5</v>
      </c>
      <c r="H498" s="2">
        <v>75000</v>
      </c>
      <c r="I498">
        <v>0.16</v>
      </c>
      <c r="J498" s="2">
        <v>315000</v>
      </c>
    </row>
    <row r="499" spans="1:10" x14ac:dyDescent="0.25">
      <c r="A499" t="s">
        <v>580</v>
      </c>
      <c r="B499" s="1">
        <v>45549</v>
      </c>
      <c r="C499" t="s">
        <v>533</v>
      </c>
      <c r="D499" t="s">
        <v>60</v>
      </c>
      <c r="E499" t="s">
        <v>878</v>
      </c>
      <c r="F499" t="s">
        <v>33</v>
      </c>
      <c r="G499" s="2">
        <v>2</v>
      </c>
      <c r="H499" s="2">
        <v>95000</v>
      </c>
      <c r="I499">
        <v>0.19</v>
      </c>
      <c r="J499" s="2">
        <v>153900</v>
      </c>
    </row>
    <row r="500" spans="1:10" x14ac:dyDescent="0.25">
      <c r="A500" t="s">
        <v>581</v>
      </c>
      <c r="B500" s="1">
        <v>45551</v>
      </c>
      <c r="C500" t="s">
        <v>533</v>
      </c>
      <c r="D500" t="s">
        <v>35</v>
      </c>
      <c r="E500" t="s">
        <v>877</v>
      </c>
      <c r="F500" t="s">
        <v>37</v>
      </c>
      <c r="G500" s="2">
        <v>5</v>
      </c>
      <c r="H500" s="2">
        <v>45000</v>
      </c>
      <c r="I500">
        <v>7.0000000000000007E-2</v>
      </c>
      <c r="J500" s="2">
        <v>209200</v>
      </c>
    </row>
    <row r="501" spans="1:10" x14ac:dyDescent="0.25">
      <c r="A501" t="s">
        <v>582</v>
      </c>
      <c r="B501" s="1">
        <v>45559</v>
      </c>
      <c r="C501" t="s">
        <v>533</v>
      </c>
      <c r="D501" t="s">
        <v>35</v>
      </c>
      <c r="E501" t="s">
        <v>877</v>
      </c>
      <c r="F501" t="s">
        <v>28</v>
      </c>
      <c r="G501" s="2">
        <v>4</v>
      </c>
      <c r="H501" s="2">
        <v>45000</v>
      </c>
      <c r="I501">
        <v>0.09</v>
      </c>
      <c r="J501" s="2">
        <v>163800</v>
      </c>
    </row>
    <row r="502" spans="1:10" x14ac:dyDescent="0.25">
      <c r="A502" t="s">
        <v>583</v>
      </c>
      <c r="B502" s="1">
        <v>45539</v>
      </c>
      <c r="C502" t="s">
        <v>533</v>
      </c>
      <c r="D502" t="s">
        <v>24</v>
      </c>
      <c r="E502" t="s">
        <v>878</v>
      </c>
      <c r="F502" t="s">
        <v>37</v>
      </c>
      <c r="G502" s="2">
        <v>5</v>
      </c>
      <c r="H502" s="2">
        <v>75000</v>
      </c>
      <c r="I502">
        <v>0.13</v>
      </c>
      <c r="J502" s="2">
        <v>326200</v>
      </c>
    </row>
    <row r="503" spans="1:10" x14ac:dyDescent="0.25">
      <c r="A503" t="s">
        <v>584</v>
      </c>
      <c r="B503" s="1">
        <v>45558</v>
      </c>
      <c r="C503" t="s">
        <v>533</v>
      </c>
      <c r="D503" t="s">
        <v>24</v>
      </c>
      <c r="E503" t="s">
        <v>878</v>
      </c>
      <c r="F503" t="s">
        <v>28</v>
      </c>
      <c r="G503" s="2">
        <v>2</v>
      </c>
      <c r="H503" s="2">
        <v>75000</v>
      </c>
      <c r="I503">
        <v>0.19</v>
      </c>
      <c r="J503" s="2">
        <v>121500</v>
      </c>
    </row>
    <row r="504" spans="1:10" x14ac:dyDescent="0.25">
      <c r="A504" t="s">
        <v>585</v>
      </c>
      <c r="B504" s="1">
        <v>45589</v>
      </c>
      <c r="C504" t="s">
        <v>533</v>
      </c>
      <c r="D504" t="s">
        <v>51</v>
      </c>
      <c r="E504" t="s">
        <v>879</v>
      </c>
      <c r="F504" t="s">
        <v>37</v>
      </c>
      <c r="G504" s="2">
        <v>3</v>
      </c>
      <c r="H504" s="2">
        <v>150000</v>
      </c>
      <c r="I504">
        <v>7.0000000000000007E-2</v>
      </c>
      <c r="J504" s="2">
        <v>418500</v>
      </c>
    </row>
    <row r="505" spans="1:10" x14ac:dyDescent="0.25">
      <c r="A505" t="s">
        <v>586</v>
      </c>
      <c r="B505" s="1">
        <v>45582</v>
      </c>
      <c r="C505" t="s">
        <v>533</v>
      </c>
      <c r="D505" t="s">
        <v>30</v>
      </c>
      <c r="E505" t="s">
        <v>879</v>
      </c>
      <c r="F505" t="s">
        <v>33</v>
      </c>
      <c r="G505" s="2">
        <v>5</v>
      </c>
      <c r="H505" s="2">
        <v>60000</v>
      </c>
      <c r="I505">
        <v>0.12</v>
      </c>
      <c r="J505" s="2">
        <v>264000</v>
      </c>
    </row>
    <row r="506" spans="1:10" x14ac:dyDescent="0.25">
      <c r="A506" t="s">
        <v>587</v>
      </c>
      <c r="B506" s="1">
        <v>45580</v>
      </c>
      <c r="C506" t="s">
        <v>533</v>
      </c>
      <c r="D506" t="s">
        <v>47</v>
      </c>
      <c r="E506" t="s">
        <v>879</v>
      </c>
      <c r="F506" t="s">
        <v>54</v>
      </c>
      <c r="G506" s="2">
        <v>5</v>
      </c>
      <c r="H506" s="2">
        <v>200000</v>
      </c>
      <c r="I506">
        <v>0.08</v>
      </c>
      <c r="J506" s="2">
        <v>920000</v>
      </c>
    </row>
    <row r="507" spans="1:10" x14ac:dyDescent="0.25">
      <c r="A507" t="s">
        <v>588</v>
      </c>
      <c r="B507" s="1">
        <v>45578</v>
      </c>
      <c r="C507" t="s">
        <v>533</v>
      </c>
      <c r="D507" t="s">
        <v>51</v>
      </c>
      <c r="E507" t="s">
        <v>877</v>
      </c>
      <c r="F507" t="s">
        <v>37</v>
      </c>
      <c r="G507" s="2">
        <v>2</v>
      </c>
      <c r="H507" s="2">
        <v>150000</v>
      </c>
      <c r="I507">
        <v>0.06</v>
      </c>
      <c r="J507" s="2">
        <v>282000</v>
      </c>
    </row>
    <row r="508" spans="1:10" x14ac:dyDescent="0.25">
      <c r="A508" t="s">
        <v>589</v>
      </c>
      <c r="B508" s="1">
        <v>45577</v>
      </c>
      <c r="C508" t="s">
        <v>533</v>
      </c>
      <c r="D508" t="s">
        <v>47</v>
      </c>
      <c r="E508" t="s">
        <v>879</v>
      </c>
      <c r="F508" t="s">
        <v>37</v>
      </c>
      <c r="G508" s="2">
        <v>5</v>
      </c>
      <c r="H508" s="2">
        <v>200000</v>
      </c>
      <c r="I508">
        <v>0.16</v>
      </c>
      <c r="J508" s="2">
        <v>840000</v>
      </c>
    </row>
    <row r="509" spans="1:10" x14ac:dyDescent="0.25">
      <c r="A509" t="s">
        <v>590</v>
      </c>
      <c r="B509" s="1">
        <v>45603</v>
      </c>
      <c r="C509" t="s">
        <v>533</v>
      </c>
      <c r="D509" t="s">
        <v>60</v>
      </c>
      <c r="E509" t="s">
        <v>877</v>
      </c>
      <c r="F509" t="s">
        <v>28</v>
      </c>
      <c r="G509" s="2">
        <v>1</v>
      </c>
      <c r="H509" s="2">
        <v>95000</v>
      </c>
      <c r="I509">
        <v>0.1</v>
      </c>
      <c r="J509" s="2">
        <v>85500</v>
      </c>
    </row>
    <row r="510" spans="1:10" x14ac:dyDescent="0.25">
      <c r="A510" t="s">
        <v>591</v>
      </c>
      <c r="B510" s="1">
        <v>45608</v>
      </c>
      <c r="C510" t="s">
        <v>533</v>
      </c>
      <c r="D510" t="s">
        <v>75</v>
      </c>
      <c r="E510" t="s">
        <v>880</v>
      </c>
      <c r="F510" t="s">
        <v>28</v>
      </c>
      <c r="G510" s="2">
        <v>3</v>
      </c>
      <c r="H510" s="2">
        <v>120000</v>
      </c>
      <c r="I510">
        <v>0.14000000000000001</v>
      </c>
      <c r="J510" s="2">
        <v>309600</v>
      </c>
    </row>
    <row r="511" spans="1:10" x14ac:dyDescent="0.25">
      <c r="A511" t="s">
        <v>592</v>
      </c>
      <c r="B511" s="1">
        <v>45619</v>
      </c>
      <c r="C511" t="s">
        <v>533</v>
      </c>
      <c r="D511" t="s">
        <v>75</v>
      </c>
      <c r="E511" t="s">
        <v>879</v>
      </c>
      <c r="F511" t="s">
        <v>37</v>
      </c>
      <c r="G511" s="2">
        <v>3</v>
      </c>
      <c r="H511" s="2">
        <v>120000</v>
      </c>
      <c r="I511">
        <v>0.13</v>
      </c>
      <c r="J511" s="2">
        <v>313200</v>
      </c>
    </row>
    <row r="512" spans="1:10" x14ac:dyDescent="0.25">
      <c r="A512" t="s">
        <v>593</v>
      </c>
      <c r="B512" s="1">
        <v>45617</v>
      </c>
      <c r="C512" t="s">
        <v>533</v>
      </c>
      <c r="D512" t="s">
        <v>47</v>
      </c>
      <c r="E512" t="s">
        <v>879</v>
      </c>
      <c r="F512" t="s">
        <v>33</v>
      </c>
      <c r="G512" s="2">
        <v>4</v>
      </c>
      <c r="H512" s="2">
        <v>200000</v>
      </c>
      <c r="I512">
        <v>0.16</v>
      </c>
      <c r="J512" s="2">
        <v>672000</v>
      </c>
    </row>
    <row r="513" spans="1:10" x14ac:dyDescent="0.25">
      <c r="A513" t="s">
        <v>594</v>
      </c>
      <c r="B513" s="1">
        <v>45605</v>
      </c>
      <c r="C513" t="s">
        <v>533</v>
      </c>
      <c r="D513" t="s">
        <v>75</v>
      </c>
      <c r="E513" t="s">
        <v>880</v>
      </c>
      <c r="F513" t="s">
        <v>28</v>
      </c>
      <c r="G513" s="2">
        <v>3</v>
      </c>
      <c r="H513" s="2">
        <v>120000</v>
      </c>
      <c r="I513">
        <v>0.09</v>
      </c>
      <c r="J513" s="2">
        <v>327600</v>
      </c>
    </row>
    <row r="514" spans="1:10" x14ac:dyDescent="0.25">
      <c r="A514" t="s">
        <v>595</v>
      </c>
      <c r="B514" s="1">
        <v>45638</v>
      </c>
      <c r="C514" t="s">
        <v>533</v>
      </c>
      <c r="D514" t="s">
        <v>24</v>
      </c>
      <c r="E514" t="s">
        <v>880</v>
      </c>
      <c r="F514" t="s">
        <v>28</v>
      </c>
      <c r="G514" s="2">
        <v>1</v>
      </c>
      <c r="H514" s="2">
        <v>75000</v>
      </c>
      <c r="I514">
        <v>0.12</v>
      </c>
      <c r="J514" s="2">
        <v>66000</v>
      </c>
    </row>
    <row r="515" spans="1:10" x14ac:dyDescent="0.25">
      <c r="A515" t="s">
        <v>596</v>
      </c>
      <c r="B515" s="1">
        <v>45642</v>
      </c>
      <c r="C515" t="s">
        <v>533</v>
      </c>
      <c r="D515" t="s">
        <v>24</v>
      </c>
      <c r="E515" t="s">
        <v>877</v>
      </c>
      <c r="F515" t="s">
        <v>28</v>
      </c>
      <c r="G515" s="2">
        <v>3</v>
      </c>
      <c r="H515" s="2">
        <v>75000</v>
      </c>
      <c r="I515">
        <v>0.09</v>
      </c>
      <c r="J515" s="2">
        <v>204800</v>
      </c>
    </row>
    <row r="516" spans="1:10" x14ac:dyDescent="0.25">
      <c r="A516" t="s">
        <v>597</v>
      </c>
      <c r="B516" s="1">
        <v>45627</v>
      </c>
      <c r="C516" t="s">
        <v>533</v>
      </c>
      <c r="D516" t="s">
        <v>35</v>
      </c>
      <c r="E516" t="s">
        <v>880</v>
      </c>
      <c r="F516" t="s">
        <v>37</v>
      </c>
      <c r="G516" s="2">
        <v>4</v>
      </c>
      <c r="H516" s="2">
        <v>45000</v>
      </c>
      <c r="I516">
        <v>0.2</v>
      </c>
      <c r="J516" s="2">
        <v>144000</v>
      </c>
    </row>
    <row r="517" spans="1:10" x14ac:dyDescent="0.25">
      <c r="A517" t="s">
        <v>598</v>
      </c>
      <c r="B517" s="1">
        <v>45646</v>
      </c>
      <c r="C517" t="s">
        <v>533</v>
      </c>
      <c r="D517" t="s">
        <v>51</v>
      </c>
      <c r="E517" t="s">
        <v>878</v>
      </c>
      <c r="F517" t="s">
        <v>37</v>
      </c>
      <c r="G517" s="2">
        <v>5</v>
      </c>
      <c r="H517" s="2">
        <v>150000</v>
      </c>
      <c r="I517">
        <v>0.11</v>
      </c>
      <c r="J517" s="2">
        <v>667500</v>
      </c>
    </row>
    <row r="518" spans="1:10" x14ac:dyDescent="0.25">
      <c r="A518" t="s">
        <v>599</v>
      </c>
      <c r="B518" s="1">
        <v>45631</v>
      </c>
      <c r="C518" t="s">
        <v>533</v>
      </c>
      <c r="D518" t="s">
        <v>40</v>
      </c>
      <c r="E518" t="s">
        <v>878</v>
      </c>
      <c r="F518" t="s">
        <v>33</v>
      </c>
      <c r="G518" s="2">
        <v>3</v>
      </c>
      <c r="H518" s="2">
        <v>85000</v>
      </c>
      <c r="I518">
        <v>0.19</v>
      </c>
      <c r="J518" s="2">
        <v>206600</v>
      </c>
    </row>
    <row r="519" spans="1:10" x14ac:dyDescent="0.25">
      <c r="A519" t="s">
        <v>600</v>
      </c>
      <c r="B519" s="1">
        <v>45627</v>
      </c>
      <c r="C519" t="s">
        <v>533</v>
      </c>
      <c r="D519" t="s">
        <v>30</v>
      </c>
      <c r="E519" t="s">
        <v>880</v>
      </c>
      <c r="F519" t="s">
        <v>54</v>
      </c>
      <c r="G519" s="2">
        <v>1</v>
      </c>
      <c r="H519" s="2">
        <v>60000</v>
      </c>
      <c r="I519">
        <v>0.13</v>
      </c>
      <c r="J519" s="2">
        <v>52200</v>
      </c>
    </row>
    <row r="520" spans="1:10" x14ac:dyDescent="0.25">
      <c r="A520" t="s">
        <v>601</v>
      </c>
      <c r="B520" s="1">
        <v>45641</v>
      </c>
      <c r="C520" t="s">
        <v>533</v>
      </c>
      <c r="D520" t="s">
        <v>40</v>
      </c>
      <c r="E520" t="s">
        <v>880</v>
      </c>
      <c r="F520" t="s">
        <v>33</v>
      </c>
      <c r="G520" s="2">
        <v>1</v>
      </c>
      <c r="H520" s="2">
        <v>85000</v>
      </c>
      <c r="I520">
        <v>0.17</v>
      </c>
      <c r="J520" s="2">
        <v>70600</v>
      </c>
    </row>
    <row r="521" spans="1:10" x14ac:dyDescent="0.25">
      <c r="A521" t="s">
        <v>602</v>
      </c>
      <c r="B521" s="1">
        <v>45298</v>
      </c>
      <c r="C521" t="s">
        <v>603</v>
      </c>
      <c r="D521" t="s">
        <v>75</v>
      </c>
      <c r="E521" t="s">
        <v>880</v>
      </c>
      <c r="F521" t="s">
        <v>33</v>
      </c>
      <c r="G521" s="2">
        <v>4</v>
      </c>
      <c r="H521" s="2">
        <v>120000</v>
      </c>
      <c r="I521">
        <v>0.19</v>
      </c>
      <c r="J521" s="2">
        <v>388800</v>
      </c>
    </row>
    <row r="522" spans="1:10" x14ac:dyDescent="0.25">
      <c r="A522" t="s">
        <v>605</v>
      </c>
      <c r="B522" s="1">
        <v>45314</v>
      </c>
      <c r="C522" t="s">
        <v>603</v>
      </c>
      <c r="D522" t="s">
        <v>40</v>
      </c>
      <c r="E522" t="s">
        <v>877</v>
      </c>
      <c r="F522" t="s">
        <v>33</v>
      </c>
      <c r="G522" s="2">
        <v>4</v>
      </c>
      <c r="H522" s="2">
        <v>85000</v>
      </c>
      <c r="I522">
        <v>0.16</v>
      </c>
      <c r="J522" s="2">
        <v>285600</v>
      </c>
    </row>
    <row r="523" spans="1:10" x14ac:dyDescent="0.25">
      <c r="A523" t="s">
        <v>606</v>
      </c>
      <c r="B523" s="1">
        <v>45311</v>
      </c>
      <c r="C523" t="s">
        <v>603</v>
      </c>
      <c r="D523" t="s">
        <v>75</v>
      </c>
      <c r="E523" t="s">
        <v>880</v>
      </c>
      <c r="F523" t="s">
        <v>28</v>
      </c>
      <c r="G523" s="2">
        <v>5</v>
      </c>
      <c r="H523" s="2">
        <v>120000</v>
      </c>
      <c r="I523">
        <v>0.14000000000000001</v>
      </c>
      <c r="J523" s="2">
        <v>516000</v>
      </c>
    </row>
    <row r="524" spans="1:10" x14ac:dyDescent="0.25">
      <c r="A524" t="s">
        <v>607</v>
      </c>
      <c r="B524" s="1">
        <v>45304</v>
      </c>
      <c r="C524" t="s">
        <v>603</v>
      </c>
      <c r="D524" t="s">
        <v>60</v>
      </c>
      <c r="E524" t="s">
        <v>879</v>
      </c>
      <c r="F524" t="s">
        <v>54</v>
      </c>
      <c r="G524" s="2">
        <v>1</v>
      </c>
      <c r="H524" s="2">
        <v>95000</v>
      </c>
      <c r="I524">
        <v>0.19</v>
      </c>
      <c r="J524" s="2">
        <v>77000</v>
      </c>
    </row>
    <row r="525" spans="1:10" x14ac:dyDescent="0.25">
      <c r="A525" t="s">
        <v>608</v>
      </c>
      <c r="B525" s="1">
        <v>45299</v>
      </c>
      <c r="C525" t="s">
        <v>603</v>
      </c>
      <c r="D525" t="s">
        <v>35</v>
      </c>
      <c r="E525" t="s">
        <v>878</v>
      </c>
      <c r="F525" t="s">
        <v>33</v>
      </c>
      <c r="G525" s="2">
        <v>1</v>
      </c>
      <c r="H525" s="2">
        <v>45000</v>
      </c>
      <c r="I525">
        <v>0.09</v>
      </c>
      <c r="J525" s="2">
        <v>41000</v>
      </c>
    </row>
    <row r="526" spans="1:10" x14ac:dyDescent="0.25">
      <c r="A526" t="s">
        <v>609</v>
      </c>
      <c r="B526" s="1">
        <v>45323</v>
      </c>
      <c r="C526" t="s">
        <v>603</v>
      </c>
      <c r="D526" t="s">
        <v>35</v>
      </c>
      <c r="E526" t="s">
        <v>880</v>
      </c>
      <c r="F526" t="s">
        <v>37</v>
      </c>
      <c r="G526" s="2">
        <v>5</v>
      </c>
      <c r="H526" s="2">
        <v>45000</v>
      </c>
      <c r="I526">
        <v>0.13</v>
      </c>
      <c r="J526" s="2">
        <v>195800</v>
      </c>
    </row>
    <row r="527" spans="1:10" x14ac:dyDescent="0.25">
      <c r="A527" t="s">
        <v>610</v>
      </c>
      <c r="B527" s="1">
        <v>45330</v>
      </c>
      <c r="C527" t="s">
        <v>603</v>
      </c>
      <c r="D527" t="s">
        <v>40</v>
      </c>
      <c r="E527" t="s">
        <v>879</v>
      </c>
      <c r="F527" t="s">
        <v>37</v>
      </c>
      <c r="G527" s="2">
        <v>5</v>
      </c>
      <c r="H527" s="2">
        <v>85000</v>
      </c>
      <c r="I527">
        <v>0.17</v>
      </c>
      <c r="J527" s="2">
        <v>352800</v>
      </c>
    </row>
    <row r="528" spans="1:10" x14ac:dyDescent="0.25">
      <c r="A528" t="s">
        <v>611</v>
      </c>
      <c r="B528" s="1">
        <v>45349</v>
      </c>
      <c r="C528" t="s">
        <v>603</v>
      </c>
      <c r="D528" t="s">
        <v>30</v>
      </c>
      <c r="E528" t="s">
        <v>878</v>
      </c>
      <c r="F528" t="s">
        <v>54</v>
      </c>
      <c r="G528" s="2">
        <v>3</v>
      </c>
      <c r="H528" s="2">
        <v>60000</v>
      </c>
      <c r="I528">
        <v>0.08</v>
      </c>
      <c r="J528" s="2">
        <v>165600</v>
      </c>
    </row>
    <row r="529" spans="1:10" x14ac:dyDescent="0.25">
      <c r="A529" t="s">
        <v>612</v>
      </c>
      <c r="B529" s="1">
        <v>45362</v>
      </c>
      <c r="C529" t="s">
        <v>603</v>
      </c>
      <c r="D529" t="s">
        <v>30</v>
      </c>
      <c r="E529" t="s">
        <v>880</v>
      </c>
      <c r="F529" t="s">
        <v>37</v>
      </c>
      <c r="G529" s="2">
        <v>5</v>
      </c>
      <c r="H529" s="2">
        <v>60000</v>
      </c>
      <c r="I529">
        <v>0.13</v>
      </c>
      <c r="J529" s="2">
        <v>261000</v>
      </c>
    </row>
    <row r="530" spans="1:10" x14ac:dyDescent="0.25">
      <c r="A530" t="s">
        <v>613</v>
      </c>
      <c r="B530" s="1">
        <v>45354</v>
      </c>
      <c r="C530" t="s">
        <v>603</v>
      </c>
      <c r="D530" t="s">
        <v>75</v>
      </c>
      <c r="E530" t="s">
        <v>878</v>
      </c>
      <c r="F530" t="s">
        <v>33</v>
      </c>
      <c r="G530" s="2">
        <v>1</v>
      </c>
      <c r="H530" s="2">
        <v>120000</v>
      </c>
      <c r="I530">
        <v>0.13</v>
      </c>
      <c r="J530" s="2">
        <v>104400</v>
      </c>
    </row>
    <row r="531" spans="1:10" x14ac:dyDescent="0.25">
      <c r="A531" t="s">
        <v>614</v>
      </c>
      <c r="B531" s="1">
        <v>45354</v>
      </c>
      <c r="C531" t="s">
        <v>603</v>
      </c>
      <c r="D531" t="s">
        <v>24</v>
      </c>
      <c r="E531" t="s">
        <v>877</v>
      </c>
      <c r="F531" t="s">
        <v>28</v>
      </c>
      <c r="G531" s="2">
        <v>5</v>
      </c>
      <c r="H531" s="2">
        <v>75000</v>
      </c>
      <c r="I531">
        <v>0.2</v>
      </c>
      <c r="J531" s="2">
        <v>300000</v>
      </c>
    </row>
    <row r="532" spans="1:10" x14ac:dyDescent="0.25">
      <c r="A532" t="s">
        <v>615</v>
      </c>
      <c r="B532" s="1">
        <v>45373</v>
      </c>
      <c r="C532" t="s">
        <v>603</v>
      </c>
      <c r="D532" t="s">
        <v>35</v>
      </c>
      <c r="E532" t="s">
        <v>878</v>
      </c>
      <c r="F532" t="s">
        <v>28</v>
      </c>
      <c r="G532" s="2">
        <v>5</v>
      </c>
      <c r="H532" s="2">
        <v>45000</v>
      </c>
      <c r="I532">
        <v>0.16</v>
      </c>
      <c r="J532" s="2">
        <v>189000</v>
      </c>
    </row>
    <row r="533" spans="1:10" x14ac:dyDescent="0.25">
      <c r="A533" t="s">
        <v>616</v>
      </c>
      <c r="B533" s="1">
        <v>45352</v>
      </c>
      <c r="C533" t="s">
        <v>603</v>
      </c>
      <c r="D533" t="s">
        <v>60</v>
      </c>
      <c r="E533" t="s">
        <v>879</v>
      </c>
      <c r="F533" t="s">
        <v>37</v>
      </c>
      <c r="G533" s="2">
        <v>3</v>
      </c>
      <c r="H533" s="2">
        <v>95000</v>
      </c>
      <c r="I533">
        <v>0.19</v>
      </c>
      <c r="J533" s="2">
        <v>230900</v>
      </c>
    </row>
    <row r="534" spans="1:10" x14ac:dyDescent="0.25">
      <c r="A534" t="s">
        <v>617</v>
      </c>
      <c r="B534" s="1">
        <v>45396</v>
      </c>
      <c r="C534" t="s">
        <v>603</v>
      </c>
      <c r="D534" t="s">
        <v>47</v>
      </c>
      <c r="E534" t="s">
        <v>880</v>
      </c>
      <c r="F534" t="s">
        <v>28</v>
      </c>
      <c r="G534" s="2">
        <v>3</v>
      </c>
      <c r="H534" s="2">
        <v>200000</v>
      </c>
      <c r="I534">
        <v>0.08</v>
      </c>
      <c r="J534" s="2">
        <v>552000</v>
      </c>
    </row>
    <row r="535" spans="1:10" x14ac:dyDescent="0.25">
      <c r="A535" t="s">
        <v>618</v>
      </c>
      <c r="B535" s="1">
        <v>45389</v>
      </c>
      <c r="C535" t="s">
        <v>603</v>
      </c>
      <c r="D535" t="s">
        <v>47</v>
      </c>
      <c r="E535" t="s">
        <v>877</v>
      </c>
      <c r="F535" t="s">
        <v>37</v>
      </c>
      <c r="G535" s="2">
        <v>2</v>
      </c>
      <c r="H535" s="2">
        <v>200000</v>
      </c>
      <c r="I535">
        <v>0.18</v>
      </c>
      <c r="J535" s="2">
        <v>328000</v>
      </c>
    </row>
    <row r="536" spans="1:10" x14ac:dyDescent="0.25">
      <c r="A536" t="s">
        <v>619</v>
      </c>
      <c r="B536" s="1">
        <v>45393</v>
      </c>
      <c r="C536" t="s">
        <v>603</v>
      </c>
      <c r="D536" t="s">
        <v>47</v>
      </c>
      <c r="E536" t="s">
        <v>878</v>
      </c>
      <c r="F536" t="s">
        <v>33</v>
      </c>
      <c r="G536" s="2">
        <v>1</v>
      </c>
      <c r="H536" s="2">
        <v>200000</v>
      </c>
      <c r="I536">
        <v>0.13</v>
      </c>
      <c r="J536" s="2">
        <v>174000</v>
      </c>
    </row>
    <row r="537" spans="1:10" x14ac:dyDescent="0.25">
      <c r="A537" t="s">
        <v>620</v>
      </c>
      <c r="B537" s="1">
        <v>45392</v>
      </c>
      <c r="C537" t="s">
        <v>603</v>
      </c>
      <c r="D537" t="s">
        <v>60</v>
      </c>
      <c r="E537" t="s">
        <v>878</v>
      </c>
      <c r="F537" t="s">
        <v>37</v>
      </c>
      <c r="G537" s="2">
        <v>3</v>
      </c>
      <c r="H537" s="2">
        <v>95000</v>
      </c>
      <c r="I537">
        <v>0.1</v>
      </c>
      <c r="J537" s="2">
        <v>256500</v>
      </c>
    </row>
    <row r="538" spans="1:10" x14ac:dyDescent="0.25">
      <c r="A538" t="s">
        <v>621</v>
      </c>
      <c r="B538" s="1">
        <v>45427</v>
      </c>
      <c r="C538" t="s">
        <v>603</v>
      </c>
      <c r="D538" t="s">
        <v>40</v>
      </c>
      <c r="E538" t="s">
        <v>880</v>
      </c>
      <c r="F538" t="s">
        <v>33</v>
      </c>
      <c r="G538" s="2">
        <v>5</v>
      </c>
      <c r="H538" s="2">
        <v>85000</v>
      </c>
      <c r="I538">
        <v>7.0000000000000007E-2</v>
      </c>
      <c r="J538" s="2">
        <v>395200</v>
      </c>
    </row>
    <row r="539" spans="1:10" x14ac:dyDescent="0.25">
      <c r="A539" t="s">
        <v>622</v>
      </c>
      <c r="B539" s="1">
        <v>45434</v>
      </c>
      <c r="C539" t="s">
        <v>603</v>
      </c>
      <c r="D539" t="s">
        <v>60</v>
      </c>
      <c r="E539" t="s">
        <v>878</v>
      </c>
      <c r="F539" t="s">
        <v>37</v>
      </c>
      <c r="G539" s="2">
        <v>2</v>
      </c>
      <c r="H539" s="2">
        <v>95000</v>
      </c>
      <c r="I539">
        <v>0.15</v>
      </c>
      <c r="J539" s="2">
        <v>161500</v>
      </c>
    </row>
    <row r="540" spans="1:10" x14ac:dyDescent="0.25">
      <c r="A540" t="s">
        <v>623</v>
      </c>
      <c r="B540" s="1">
        <v>45413</v>
      </c>
      <c r="C540" t="s">
        <v>603</v>
      </c>
      <c r="D540" t="s">
        <v>24</v>
      </c>
      <c r="E540" t="s">
        <v>878</v>
      </c>
      <c r="F540" t="s">
        <v>33</v>
      </c>
      <c r="G540" s="2">
        <v>2</v>
      </c>
      <c r="H540" s="2">
        <v>75000</v>
      </c>
      <c r="I540">
        <v>0.06</v>
      </c>
      <c r="J540" s="2">
        <v>141000</v>
      </c>
    </row>
    <row r="541" spans="1:10" x14ac:dyDescent="0.25">
      <c r="A541" t="s">
        <v>624</v>
      </c>
      <c r="B541" s="1">
        <v>45415</v>
      </c>
      <c r="C541" t="s">
        <v>603</v>
      </c>
      <c r="D541" t="s">
        <v>75</v>
      </c>
      <c r="E541" t="s">
        <v>880</v>
      </c>
      <c r="F541" t="s">
        <v>33</v>
      </c>
      <c r="G541" s="2">
        <v>3</v>
      </c>
      <c r="H541" s="2">
        <v>120000</v>
      </c>
      <c r="I541">
        <v>0.08</v>
      </c>
      <c r="J541" s="2">
        <v>331200</v>
      </c>
    </row>
    <row r="542" spans="1:10" x14ac:dyDescent="0.25">
      <c r="A542" t="s">
        <v>625</v>
      </c>
      <c r="B542" s="1">
        <v>45413</v>
      </c>
      <c r="C542" t="s">
        <v>603</v>
      </c>
      <c r="D542" t="s">
        <v>60</v>
      </c>
      <c r="E542" t="s">
        <v>878</v>
      </c>
      <c r="F542" t="s">
        <v>33</v>
      </c>
      <c r="G542" s="2">
        <v>2</v>
      </c>
      <c r="H542" s="2">
        <v>95000</v>
      </c>
      <c r="I542">
        <v>0.2</v>
      </c>
      <c r="J542" s="2">
        <v>152000</v>
      </c>
    </row>
    <row r="543" spans="1:10" x14ac:dyDescent="0.25">
      <c r="A543" t="s">
        <v>626</v>
      </c>
      <c r="B543" s="1">
        <v>45435</v>
      </c>
      <c r="C543" t="s">
        <v>603</v>
      </c>
      <c r="D543" t="s">
        <v>60</v>
      </c>
      <c r="E543" t="s">
        <v>878</v>
      </c>
      <c r="F543" t="s">
        <v>37</v>
      </c>
      <c r="G543" s="2">
        <v>2</v>
      </c>
      <c r="H543" s="2">
        <v>95000</v>
      </c>
      <c r="I543">
        <v>7.0000000000000007E-2</v>
      </c>
      <c r="J543" s="2">
        <v>176700</v>
      </c>
    </row>
    <row r="544" spans="1:10" x14ac:dyDescent="0.25">
      <c r="A544" t="s">
        <v>627</v>
      </c>
      <c r="B544" s="1">
        <v>45413</v>
      </c>
      <c r="C544" t="s">
        <v>603</v>
      </c>
      <c r="D544" t="s">
        <v>75</v>
      </c>
      <c r="E544" t="s">
        <v>878</v>
      </c>
      <c r="F544" t="s">
        <v>33</v>
      </c>
      <c r="G544" s="2">
        <v>3</v>
      </c>
      <c r="H544" s="2">
        <v>120000</v>
      </c>
      <c r="I544">
        <v>0.15</v>
      </c>
      <c r="J544" s="2">
        <v>306000</v>
      </c>
    </row>
    <row r="545" spans="1:10" x14ac:dyDescent="0.25">
      <c r="A545" t="s">
        <v>628</v>
      </c>
      <c r="B545" s="1">
        <v>45438</v>
      </c>
      <c r="C545" t="s">
        <v>603</v>
      </c>
      <c r="D545" t="s">
        <v>75</v>
      </c>
      <c r="E545" t="s">
        <v>879</v>
      </c>
      <c r="F545" t="s">
        <v>28</v>
      </c>
      <c r="G545" s="2">
        <v>5</v>
      </c>
      <c r="H545" s="2">
        <v>120000</v>
      </c>
      <c r="I545">
        <v>0.17</v>
      </c>
      <c r="J545" s="2">
        <v>498000</v>
      </c>
    </row>
    <row r="546" spans="1:10" x14ac:dyDescent="0.25">
      <c r="A546" t="s">
        <v>629</v>
      </c>
      <c r="B546" s="1">
        <v>45447</v>
      </c>
      <c r="C546" t="s">
        <v>603</v>
      </c>
      <c r="D546" t="s">
        <v>24</v>
      </c>
      <c r="E546" t="s">
        <v>880</v>
      </c>
      <c r="F546" t="s">
        <v>37</v>
      </c>
      <c r="G546" s="2">
        <v>1</v>
      </c>
      <c r="H546" s="2">
        <v>75000</v>
      </c>
      <c r="I546">
        <v>0.05</v>
      </c>
      <c r="J546" s="2">
        <v>71200</v>
      </c>
    </row>
    <row r="547" spans="1:10" x14ac:dyDescent="0.25">
      <c r="A547" t="s">
        <v>630</v>
      </c>
      <c r="B547" s="1">
        <v>45451</v>
      </c>
      <c r="C547" t="s">
        <v>603</v>
      </c>
      <c r="D547" t="s">
        <v>51</v>
      </c>
      <c r="E547" t="s">
        <v>879</v>
      </c>
      <c r="F547" t="s">
        <v>28</v>
      </c>
      <c r="G547" s="2">
        <v>3</v>
      </c>
      <c r="H547" s="2">
        <v>150000</v>
      </c>
      <c r="I547">
        <v>0.14000000000000001</v>
      </c>
      <c r="J547" s="2">
        <v>387000</v>
      </c>
    </row>
    <row r="548" spans="1:10" x14ac:dyDescent="0.25">
      <c r="A548" t="s">
        <v>631</v>
      </c>
      <c r="B548" s="1">
        <v>45463</v>
      </c>
      <c r="C548" t="s">
        <v>603</v>
      </c>
      <c r="D548" t="s">
        <v>35</v>
      </c>
      <c r="E548" t="s">
        <v>880</v>
      </c>
      <c r="F548" t="s">
        <v>28</v>
      </c>
      <c r="G548" s="2">
        <v>5</v>
      </c>
      <c r="H548" s="2">
        <v>45000</v>
      </c>
      <c r="I548">
        <v>0.17</v>
      </c>
      <c r="J548" s="2">
        <v>186800</v>
      </c>
    </row>
    <row r="549" spans="1:10" x14ac:dyDescent="0.25">
      <c r="A549" t="s">
        <v>632</v>
      </c>
      <c r="B549" s="1">
        <v>45452</v>
      </c>
      <c r="C549" t="s">
        <v>603</v>
      </c>
      <c r="D549" t="s">
        <v>60</v>
      </c>
      <c r="E549" t="s">
        <v>879</v>
      </c>
      <c r="F549" t="s">
        <v>33</v>
      </c>
      <c r="G549" s="2">
        <v>1</v>
      </c>
      <c r="H549" s="2">
        <v>95000</v>
      </c>
      <c r="I549">
        <v>0.09</v>
      </c>
      <c r="J549" s="2">
        <v>86400</v>
      </c>
    </row>
    <row r="550" spans="1:10" x14ac:dyDescent="0.25">
      <c r="A550" t="s">
        <v>633</v>
      </c>
      <c r="B550" s="1">
        <v>45455</v>
      </c>
      <c r="C550" t="s">
        <v>603</v>
      </c>
      <c r="D550" t="s">
        <v>60</v>
      </c>
      <c r="E550" t="s">
        <v>880</v>
      </c>
      <c r="F550" t="s">
        <v>54</v>
      </c>
      <c r="G550" s="2">
        <v>1</v>
      </c>
      <c r="H550" s="2">
        <v>95000</v>
      </c>
      <c r="I550">
        <v>0.08</v>
      </c>
      <c r="J550" s="2">
        <v>87400</v>
      </c>
    </row>
    <row r="551" spans="1:10" x14ac:dyDescent="0.25">
      <c r="A551" t="s">
        <v>634</v>
      </c>
      <c r="B551" s="1">
        <v>45447</v>
      </c>
      <c r="C551" t="s">
        <v>603</v>
      </c>
      <c r="D551" t="s">
        <v>51</v>
      </c>
      <c r="E551" t="s">
        <v>879</v>
      </c>
      <c r="F551" t="s">
        <v>33</v>
      </c>
      <c r="G551" s="2">
        <v>5</v>
      </c>
      <c r="H551" s="2">
        <v>150000</v>
      </c>
      <c r="I551">
        <v>0.16</v>
      </c>
      <c r="J551" s="2">
        <v>630000</v>
      </c>
    </row>
    <row r="552" spans="1:10" x14ac:dyDescent="0.25">
      <c r="A552" t="s">
        <v>635</v>
      </c>
      <c r="B552" s="1">
        <v>45475</v>
      </c>
      <c r="C552" t="s">
        <v>603</v>
      </c>
      <c r="D552" t="s">
        <v>51</v>
      </c>
      <c r="E552" t="s">
        <v>877</v>
      </c>
      <c r="F552" t="s">
        <v>33</v>
      </c>
      <c r="G552" s="2">
        <v>2</v>
      </c>
      <c r="H552" s="2">
        <v>150000</v>
      </c>
      <c r="I552">
        <v>0.08</v>
      </c>
      <c r="J552" s="2">
        <v>276000</v>
      </c>
    </row>
    <row r="553" spans="1:10" x14ac:dyDescent="0.25">
      <c r="A553" t="s">
        <v>636</v>
      </c>
      <c r="B553" s="1">
        <v>45490</v>
      </c>
      <c r="C553" t="s">
        <v>603</v>
      </c>
      <c r="D553" t="s">
        <v>40</v>
      </c>
      <c r="E553" t="s">
        <v>877</v>
      </c>
      <c r="F553" t="s">
        <v>28</v>
      </c>
      <c r="G553" s="2">
        <v>1</v>
      </c>
      <c r="H553" s="2">
        <v>85000</v>
      </c>
      <c r="I553">
        <v>0.06</v>
      </c>
      <c r="J553" s="2">
        <v>79900</v>
      </c>
    </row>
    <row r="554" spans="1:10" x14ac:dyDescent="0.25">
      <c r="A554" t="s">
        <v>637</v>
      </c>
      <c r="B554" s="1">
        <v>45496</v>
      </c>
      <c r="C554" t="s">
        <v>603</v>
      </c>
      <c r="D554" t="s">
        <v>24</v>
      </c>
      <c r="E554" t="s">
        <v>879</v>
      </c>
      <c r="F554" t="s">
        <v>54</v>
      </c>
      <c r="G554" s="2">
        <v>3</v>
      </c>
      <c r="H554" s="2">
        <v>75000</v>
      </c>
      <c r="I554">
        <v>0.19</v>
      </c>
      <c r="J554" s="2">
        <v>182200</v>
      </c>
    </row>
    <row r="555" spans="1:10" x14ac:dyDescent="0.25">
      <c r="A555" t="s">
        <v>638</v>
      </c>
      <c r="B555" s="1">
        <v>45491</v>
      </c>
      <c r="C555" t="s">
        <v>603</v>
      </c>
      <c r="D555" t="s">
        <v>47</v>
      </c>
      <c r="E555" t="s">
        <v>878</v>
      </c>
      <c r="F555" t="s">
        <v>37</v>
      </c>
      <c r="G555" s="2">
        <v>2</v>
      </c>
      <c r="H555" s="2">
        <v>200000</v>
      </c>
      <c r="I555">
        <v>0.09</v>
      </c>
      <c r="J555" s="2">
        <v>364000</v>
      </c>
    </row>
    <row r="556" spans="1:10" x14ac:dyDescent="0.25">
      <c r="A556" t="s">
        <v>639</v>
      </c>
      <c r="B556" s="1">
        <v>45474</v>
      </c>
      <c r="C556" t="s">
        <v>603</v>
      </c>
      <c r="D556" t="s">
        <v>24</v>
      </c>
      <c r="E556" t="s">
        <v>878</v>
      </c>
      <c r="F556" t="s">
        <v>28</v>
      </c>
      <c r="G556" s="2">
        <v>4</v>
      </c>
      <c r="H556" s="2">
        <v>75000</v>
      </c>
      <c r="I556">
        <v>0.18</v>
      </c>
      <c r="J556" s="2">
        <v>246000</v>
      </c>
    </row>
    <row r="557" spans="1:10" x14ac:dyDescent="0.25">
      <c r="A557" t="s">
        <v>640</v>
      </c>
      <c r="B557" s="1">
        <v>45485</v>
      </c>
      <c r="C557" t="s">
        <v>603</v>
      </c>
      <c r="D557" t="s">
        <v>30</v>
      </c>
      <c r="E557" t="s">
        <v>880</v>
      </c>
      <c r="F557" t="s">
        <v>28</v>
      </c>
      <c r="G557" s="2">
        <v>1</v>
      </c>
      <c r="H557" s="2">
        <v>60000</v>
      </c>
      <c r="I557">
        <v>0.1</v>
      </c>
      <c r="J557" s="2">
        <v>54000</v>
      </c>
    </row>
    <row r="558" spans="1:10" x14ac:dyDescent="0.25">
      <c r="A558" t="s">
        <v>641</v>
      </c>
      <c r="B558" s="1">
        <v>45497</v>
      </c>
      <c r="C558" t="s">
        <v>603</v>
      </c>
      <c r="D558" t="s">
        <v>60</v>
      </c>
      <c r="E558" t="s">
        <v>877</v>
      </c>
      <c r="F558" t="s">
        <v>33</v>
      </c>
      <c r="G558" s="2">
        <v>3</v>
      </c>
      <c r="H558" s="2">
        <v>95000</v>
      </c>
      <c r="I558">
        <v>0.08</v>
      </c>
      <c r="J558" s="2">
        <v>262200</v>
      </c>
    </row>
    <row r="559" spans="1:10" x14ac:dyDescent="0.25">
      <c r="A559" t="s">
        <v>642</v>
      </c>
      <c r="B559" s="1">
        <v>45482</v>
      </c>
      <c r="C559" t="s">
        <v>603</v>
      </c>
      <c r="D559" t="s">
        <v>75</v>
      </c>
      <c r="E559" t="s">
        <v>880</v>
      </c>
      <c r="F559" t="s">
        <v>54</v>
      </c>
      <c r="G559" s="2">
        <v>2</v>
      </c>
      <c r="H559" s="2">
        <v>120000</v>
      </c>
      <c r="I559">
        <v>0.18</v>
      </c>
      <c r="J559" s="2">
        <v>196800</v>
      </c>
    </row>
    <row r="560" spans="1:10" x14ac:dyDescent="0.25">
      <c r="A560" t="s">
        <v>643</v>
      </c>
      <c r="B560" s="1">
        <v>45517</v>
      </c>
      <c r="C560" t="s">
        <v>603</v>
      </c>
      <c r="D560" t="s">
        <v>60</v>
      </c>
      <c r="E560" t="s">
        <v>877</v>
      </c>
      <c r="F560" t="s">
        <v>54</v>
      </c>
      <c r="G560" s="2">
        <v>2</v>
      </c>
      <c r="H560" s="2">
        <v>95000</v>
      </c>
      <c r="I560">
        <v>0.1</v>
      </c>
      <c r="J560" s="2">
        <v>171000</v>
      </c>
    </row>
    <row r="561" spans="1:10" x14ac:dyDescent="0.25">
      <c r="A561" t="s">
        <v>644</v>
      </c>
      <c r="B561" s="1">
        <v>45507</v>
      </c>
      <c r="C561" t="s">
        <v>603</v>
      </c>
      <c r="D561" t="s">
        <v>75</v>
      </c>
      <c r="E561" t="s">
        <v>877</v>
      </c>
      <c r="F561" t="s">
        <v>33</v>
      </c>
      <c r="G561" s="2">
        <v>3</v>
      </c>
      <c r="H561" s="2">
        <v>120000</v>
      </c>
      <c r="I561">
        <v>0.12</v>
      </c>
      <c r="J561" s="2">
        <v>316800</v>
      </c>
    </row>
    <row r="562" spans="1:10" x14ac:dyDescent="0.25">
      <c r="A562" t="s">
        <v>645</v>
      </c>
      <c r="B562" s="1">
        <v>45511</v>
      </c>
      <c r="C562" t="s">
        <v>603</v>
      </c>
      <c r="D562" t="s">
        <v>60</v>
      </c>
      <c r="E562" t="s">
        <v>880</v>
      </c>
      <c r="F562" t="s">
        <v>54</v>
      </c>
      <c r="G562" s="2">
        <v>3</v>
      </c>
      <c r="H562" s="2">
        <v>95000</v>
      </c>
      <c r="I562">
        <v>0.12</v>
      </c>
      <c r="J562" s="2">
        <v>250800</v>
      </c>
    </row>
    <row r="563" spans="1:10" x14ac:dyDescent="0.25">
      <c r="A563" t="s">
        <v>646</v>
      </c>
      <c r="B563" s="1">
        <v>45526</v>
      </c>
      <c r="C563" t="s">
        <v>603</v>
      </c>
      <c r="D563" t="s">
        <v>30</v>
      </c>
      <c r="E563" t="s">
        <v>879</v>
      </c>
      <c r="F563" t="s">
        <v>54</v>
      </c>
      <c r="G563" s="2">
        <v>4</v>
      </c>
      <c r="H563" s="2">
        <v>60000</v>
      </c>
      <c r="I563">
        <v>0.15</v>
      </c>
      <c r="J563" s="2">
        <v>204000</v>
      </c>
    </row>
    <row r="564" spans="1:10" x14ac:dyDescent="0.25">
      <c r="A564" t="s">
        <v>647</v>
      </c>
      <c r="B564" s="1">
        <v>45512</v>
      </c>
      <c r="C564" t="s">
        <v>603</v>
      </c>
      <c r="D564" t="s">
        <v>51</v>
      </c>
      <c r="E564" t="s">
        <v>880</v>
      </c>
      <c r="F564" t="s">
        <v>33</v>
      </c>
      <c r="G564" s="2">
        <v>5</v>
      </c>
      <c r="H564" s="2">
        <v>150000</v>
      </c>
      <c r="I564">
        <v>7.0000000000000007E-2</v>
      </c>
      <c r="J564" s="2">
        <v>697500</v>
      </c>
    </row>
    <row r="565" spans="1:10" x14ac:dyDescent="0.25">
      <c r="A565" t="s">
        <v>648</v>
      </c>
      <c r="B565" s="1">
        <v>45513</v>
      </c>
      <c r="C565" t="s">
        <v>603</v>
      </c>
      <c r="D565" t="s">
        <v>35</v>
      </c>
      <c r="E565" t="s">
        <v>877</v>
      </c>
      <c r="F565" t="s">
        <v>54</v>
      </c>
      <c r="G565" s="2">
        <v>1</v>
      </c>
      <c r="H565" s="2">
        <v>45000</v>
      </c>
      <c r="I565">
        <v>0.05</v>
      </c>
      <c r="J565" s="2">
        <v>42800</v>
      </c>
    </row>
    <row r="566" spans="1:10" x14ac:dyDescent="0.25">
      <c r="A566" t="s">
        <v>649</v>
      </c>
      <c r="B566" s="1">
        <v>45559</v>
      </c>
      <c r="C566" t="s">
        <v>603</v>
      </c>
      <c r="D566" t="s">
        <v>35</v>
      </c>
      <c r="E566" t="s">
        <v>879</v>
      </c>
      <c r="F566" t="s">
        <v>37</v>
      </c>
      <c r="G566" s="2">
        <v>2</v>
      </c>
      <c r="H566" s="2">
        <v>45000</v>
      </c>
      <c r="I566">
        <v>0.09</v>
      </c>
      <c r="J566" s="2">
        <v>81900</v>
      </c>
    </row>
    <row r="567" spans="1:10" x14ac:dyDescent="0.25">
      <c r="A567" t="s">
        <v>650</v>
      </c>
      <c r="B567" s="1">
        <v>45551</v>
      </c>
      <c r="C567" t="s">
        <v>603</v>
      </c>
      <c r="D567" t="s">
        <v>75</v>
      </c>
      <c r="E567" t="s">
        <v>877</v>
      </c>
      <c r="F567" t="s">
        <v>33</v>
      </c>
      <c r="G567" s="2">
        <v>4</v>
      </c>
      <c r="H567" s="2">
        <v>120000</v>
      </c>
      <c r="I567">
        <v>7.0000000000000007E-2</v>
      </c>
      <c r="J567" s="2">
        <v>446400</v>
      </c>
    </row>
    <row r="568" spans="1:10" x14ac:dyDescent="0.25">
      <c r="A568" t="s">
        <v>651</v>
      </c>
      <c r="B568" s="1">
        <v>45536</v>
      </c>
      <c r="C568" t="s">
        <v>603</v>
      </c>
      <c r="D568" t="s">
        <v>75</v>
      </c>
      <c r="E568" t="s">
        <v>880</v>
      </c>
      <c r="F568" t="s">
        <v>37</v>
      </c>
      <c r="G568" s="2">
        <v>2</v>
      </c>
      <c r="H568" s="2">
        <v>120000</v>
      </c>
      <c r="I568">
        <v>7.0000000000000007E-2</v>
      </c>
      <c r="J568" s="2">
        <v>223200</v>
      </c>
    </row>
    <row r="569" spans="1:10" x14ac:dyDescent="0.25">
      <c r="A569" t="s">
        <v>652</v>
      </c>
      <c r="B569" s="1">
        <v>45547</v>
      </c>
      <c r="C569" t="s">
        <v>603</v>
      </c>
      <c r="D569" t="s">
        <v>51</v>
      </c>
      <c r="E569" t="s">
        <v>878</v>
      </c>
      <c r="F569" t="s">
        <v>33</v>
      </c>
      <c r="G569" s="2">
        <v>4</v>
      </c>
      <c r="H569" s="2">
        <v>150000</v>
      </c>
      <c r="I569">
        <v>0.13</v>
      </c>
      <c r="J569" s="2">
        <v>522000</v>
      </c>
    </row>
    <row r="570" spans="1:10" x14ac:dyDescent="0.25">
      <c r="A570" t="s">
        <v>653</v>
      </c>
      <c r="B570" s="1">
        <v>45541</v>
      </c>
      <c r="C570" t="s">
        <v>603</v>
      </c>
      <c r="D570" t="s">
        <v>35</v>
      </c>
      <c r="E570" t="s">
        <v>877</v>
      </c>
      <c r="F570" t="s">
        <v>54</v>
      </c>
      <c r="G570" s="2">
        <v>3</v>
      </c>
      <c r="H570" s="2">
        <v>45000</v>
      </c>
      <c r="I570">
        <v>0.12</v>
      </c>
      <c r="J570" s="2">
        <v>118800</v>
      </c>
    </row>
    <row r="571" spans="1:10" x14ac:dyDescent="0.25">
      <c r="A571" t="s">
        <v>654</v>
      </c>
      <c r="B571" s="1">
        <v>45559</v>
      </c>
      <c r="C571" t="s">
        <v>603</v>
      </c>
      <c r="D571" t="s">
        <v>30</v>
      </c>
      <c r="E571" t="s">
        <v>878</v>
      </c>
      <c r="F571" t="s">
        <v>33</v>
      </c>
      <c r="G571" s="2">
        <v>2</v>
      </c>
      <c r="H571" s="2">
        <v>60000</v>
      </c>
      <c r="I571">
        <v>0.12</v>
      </c>
      <c r="J571" s="2">
        <v>105600</v>
      </c>
    </row>
    <row r="572" spans="1:10" x14ac:dyDescent="0.25">
      <c r="A572" t="s">
        <v>655</v>
      </c>
      <c r="B572" s="1">
        <v>45559</v>
      </c>
      <c r="C572" t="s">
        <v>603</v>
      </c>
      <c r="D572" t="s">
        <v>40</v>
      </c>
      <c r="E572" t="s">
        <v>877</v>
      </c>
      <c r="F572" t="s">
        <v>28</v>
      </c>
      <c r="G572" s="2">
        <v>2</v>
      </c>
      <c r="H572" s="2">
        <v>85000</v>
      </c>
      <c r="I572">
        <v>0.08</v>
      </c>
      <c r="J572" s="2">
        <v>156400</v>
      </c>
    </row>
    <row r="573" spans="1:10" x14ac:dyDescent="0.25">
      <c r="A573" t="s">
        <v>656</v>
      </c>
      <c r="B573" s="1">
        <v>45582</v>
      </c>
      <c r="C573" t="s">
        <v>603</v>
      </c>
      <c r="D573" t="s">
        <v>30</v>
      </c>
      <c r="E573" t="s">
        <v>880</v>
      </c>
      <c r="F573" t="s">
        <v>28</v>
      </c>
      <c r="G573" s="2">
        <v>3</v>
      </c>
      <c r="H573" s="2">
        <v>60000</v>
      </c>
      <c r="I573">
        <v>7.0000000000000007E-2</v>
      </c>
      <c r="J573" s="2">
        <v>167400</v>
      </c>
    </row>
    <row r="574" spans="1:10" x14ac:dyDescent="0.25">
      <c r="A574" t="s">
        <v>657</v>
      </c>
      <c r="B574" s="1">
        <v>45593</v>
      </c>
      <c r="C574" t="s">
        <v>603</v>
      </c>
      <c r="D574" t="s">
        <v>47</v>
      </c>
      <c r="E574" t="s">
        <v>880</v>
      </c>
      <c r="F574" t="s">
        <v>54</v>
      </c>
      <c r="G574" s="2">
        <v>5</v>
      </c>
      <c r="H574" s="2">
        <v>200000</v>
      </c>
      <c r="I574">
        <v>0.15</v>
      </c>
      <c r="J574" s="2">
        <v>850000</v>
      </c>
    </row>
    <row r="575" spans="1:10" x14ac:dyDescent="0.25">
      <c r="A575" t="s">
        <v>658</v>
      </c>
      <c r="B575" s="1">
        <v>45572</v>
      </c>
      <c r="C575" t="s">
        <v>603</v>
      </c>
      <c r="D575" t="s">
        <v>75</v>
      </c>
      <c r="E575" t="s">
        <v>878</v>
      </c>
      <c r="F575" t="s">
        <v>37</v>
      </c>
      <c r="G575" s="2">
        <v>3</v>
      </c>
      <c r="H575" s="2">
        <v>120000</v>
      </c>
      <c r="I575">
        <v>0.13</v>
      </c>
      <c r="J575" s="2">
        <v>313200</v>
      </c>
    </row>
    <row r="576" spans="1:10" x14ac:dyDescent="0.25">
      <c r="A576" t="s">
        <v>659</v>
      </c>
      <c r="B576" s="1">
        <v>45573</v>
      </c>
      <c r="C576" t="s">
        <v>603</v>
      </c>
      <c r="D576" t="s">
        <v>47</v>
      </c>
      <c r="E576" t="s">
        <v>879</v>
      </c>
      <c r="F576" t="s">
        <v>37</v>
      </c>
      <c r="G576" s="2">
        <v>2</v>
      </c>
      <c r="H576" s="2">
        <v>200000</v>
      </c>
      <c r="I576">
        <v>0.15</v>
      </c>
      <c r="J576" s="2">
        <v>340000</v>
      </c>
    </row>
    <row r="577" spans="1:10" x14ac:dyDescent="0.25">
      <c r="A577" t="s">
        <v>660</v>
      </c>
      <c r="B577" s="1">
        <v>45578</v>
      </c>
      <c r="C577" t="s">
        <v>603</v>
      </c>
      <c r="D577" t="s">
        <v>75</v>
      </c>
      <c r="E577" t="s">
        <v>879</v>
      </c>
      <c r="F577" t="s">
        <v>33</v>
      </c>
      <c r="G577" s="2">
        <v>4</v>
      </c>
      <c r="H577" s="2">
        <v>120000</v>
      </c>
      <c r="I577">
        <v>0.12</v>
      </c>
      <c r="J577" s="2">
        <v>422400</v>
      </c>
    </row>
    <row r="578" spans="1:10" x14ac:dyDescent="0.25">
      <c r="A578" t="s">
        <v>661</v>
      </c>
      <c r="B578" s="1">
        <v>45581</v>
      </c>
      <c r="C578" t="s">
        <v>603</v>
      </c>
      <c r="D578" t="s">
        <v>60</v>
      </c>
      <c r="E578" t="s">
        <v>878</v>
      </c>
      <c r="F578" t="s">
        <v>54</v>
      </c>
      <c r="G578" s="2">
        <v>2</v>
      </c>
      <c r="H578" s="2">
        <v>95000</v>
      </c>
      <c r="I578">
        <v>0.14000000000000001</v>
      </c>
      <c r="J578" s="2">
        <v>163400</v>
      </c>
    </row>
    <row r="579" spans="1:10" x14ac:dyDescent="0.25">
      <c r="A579" t="s">
        <v>662</v>
      </c>
      <c r="B579" s="1">
        <v>45593</v>
      </c>
      <c r="C579" t="s">
        <v>603</v>
      </c>
      <c r="D579" t="s">
        <v>24</v>
      </c>
      <c r="E579" t="s">
        <v>878</v>
      </c>
      <c r="F579" t="s">
        <v>33</v>
      </c>
      <c r="G579" s="2">
        <v>2</v>
      </c>
      <c r="H579" s="2">
        <v>75000</v>
      </c>
      <c r="I579">
        <v>0.08</v>
      </c>
      <c r="J579" s="2">
        <v>138000</v>
      </c>
    </row>
    <row r="580" spans="1:10" x14ac:dyDescent="0.25">
      <c r="A580" t="s">
        <v>663</v>
      </c>
      <c r="B580" s="1">
        <v>45605</v>
      </c>
      <c r="C580" t="s">
        <v>603</v>
      </c>
      <c r="D580" t="s">
        <v>51</v>
      </c>
      <c r="E580" t="s">
        <v>879</v>
      </c>
      <c r="F580" t="s">
        <v>54</v>
      </c>
      <c r="G580" s="2">
        <v>2</v>
      </c>
      <c r="H580" s="2">
        <v>150000</v>
      </c>
      <c r="I580">
        <v>0.19</v>
      </c>
      <c r="J580" s="2">
        <v>243000</v>
      </c>
    </row>
    <row r="581" spans="1:10" x14ac:dyDescent="0.25">
      <c r="A581" t="s">
        <v>664</v>
      </c>
      <c r="B581" s="1">
        <v>45616</v>
      </c>
      <c r="C581" t="s">
        <v>603</v>
      </c>
      <c r="D581" t="s">
        <v>60</v>
      </c>
      <c r="E581" t="s">
        <v>878</v>
      </c>
      <c r="F581" t="s">
        <v>33</v>
      </c>
      <c r="G581" s="2">
        <v>5</v>
      </c>
      <c r="H581" s="2">
        <v>95000</v>
      </c>
      <c r="I581">
        <v>0.14000000000000001</v>
      </c>
      <c r="J581" s="2">
        <v>408500</v>
      </c>
    </row>
    <row r="582" spans="1:10" x14ac:dyDescent="0.25">
      <c r="A582" t="s">
        <v>665</v>
      </c>
      <c r="B582" s="1">
        <v>45600</v>
      </c>
      <c r="C582" t="s">
        <v>603</v>
      </c>
      <c r="D582" t="s">
        <v>60</v>
      </c>
      <c r="E582" t="s">
        <v>878</v>
      </c>
      <c r="F582" t="s">
        <v>37</v>
      </c>
      <c r="G582" s="2">
        <v>4</v>
      </c>
      <c r="H582" s="2">
        <v>95000</v>
      </c>
      <c r="I582">
        <v>0.2</v>
      </c>
      <c r="J582" s="2">
        <v>304000</v>
      </c>
    </row>
    <row r="583" spans="1:10" x14ac:dyDescent="0.25">
      <c r="A583" t="s">
        <v>666</v>
      </c>
      <c r="B583" s="1">
        <v>45616</v>
      </c>
      <c r="C583" t="s">
        <v>603</v>
      </c>
      <c r="D583" t="s">
        <v>30</v>
      </c>
      <c r="E583" t="s">
        <v>880</v>
      </c>
      <c r="F583" t="s">
        <v>33</v>
      </c>
      <c r="G583" s="2">
        <v>5</v>
      </c>
      <c r="H583" s="2">
        <v>60000</v>
      </c>
      <c r="I583">
        <v>0.12</v>
      </c>
      <c r="J583" s="2">
        <v>264000</v>
      </c>
    </row>
    <row r="584" spans="1:10" x14ac:dyDescent="0.25">
      <c r="A584" t="s">
        <v>667</v>
      </c>
      <c r="B584" s="1">
        <v>45610</v>
      </c>
      <c r="C584" t="s">
        <v>603</v>
      </c>
      <c r="D584" t="s">
        <v>75</v>
      </c>
      <c r="E584" t="s">
        <v>878</v>
      </c>
      <c r="F584" t="s">
        <v>37</v>
      </c>
      <c r="G584" s="2">
        <v>3</v>
      </c>
      <c r="H584" s="2">
        <v>120000</v>
      </c>
      <c r="I584">
        <v>0.1</v>
      </c>
      <c r="J584" s="2">
        <v>324000</v>
      </c>
    </row>
    <row r="585" spans="1:10" x14ac:dyDescent="0.25">
      <c r="A585" t="s">
        <v>668</v>
      </c>
      <c r="B585" s="1">
        <v>45624</v>
      </c>
      <c r="C585" t="s">
        <v>603</v>
      </c>
      <c r="D585" t="s">
        <v>24</v>
      </c>
      <c r="E585" t="s">
        <v>877</v>
      </c>
      <c r="F585" t="s">
        <v>54</v>
      </c>
      <c r="G585" s="2">
        <v>2</v>
      </c>
      <c r="H585" s="2">
        <v>75000</v>
      </c>
      <c r="I585">
        <v>0.09</v>
      </c>
      <c r="J585" s="2">
        <v>136500</v>
      </c>
    </row>
    <row r="586" spans="1:10" x14ac:dyDescent="0.25">
      <c r="A586" t="s">
        <v>669</v>
      </c>
      <c r="B586" s="1">
        <v>45598</v>
      </c>
      <c r="C586" t="s">
        <v>603</v>
      </c>
      <c r="D586" t="s">
        <v>75</v>
      </c>
      <c r="E586" t="s">
        <v>880</v>
      </c>
      <c r="F586" t="s">
        <v>28</v>
      </c>
      <c r="G586" s="2">
        <v>4</v>
      </c>
      <c r="H586" s="2">
        <v>120000</v>
      </c>
      <c r="I586">
        <v>0.12</v>
      </c>
      <c r="J586" s="2">
        <v>422400</v>
      </c>
    </row>
    <row r="587" spans="1:10" x14ac:dyDescent="0.25">
      <c r="A587" t="s">
        <v>670</v>
      </c>
      <c r="B587" s="1">
        <v>45633</v>
      </c>
      <c r="C587" t="s">
        <v>603</v>
      </c>
      <c r="D587" t="s">
        <v>51</v>
      </c>
      <c r="E587" t="s">
        <v>877</v>
      </c>
      <c r="F587" t="s">
        <v>33</v>
      </c>
      <c r="G587" s="2">
        <v>2</v>
      </c>
      <c r="H587" s="2">
        <v>150000</v>
      </c>
      <c r="I587">
        <v>0.19</v>
      </c>
      <c r="J587" s="2">
        <v>243000</v>
      </c>
    </row>
    <row r="588" spans="1:10" x14ac:dyDescent="0.25">
      <c r="A588" t="s">
        <v>671</v>
      </c>
      <c r="B588" s="1">
        <v>45650</v>
      </c>
      <c r="C588" t="s">
        <v>603</v>
      </c>
      <c r="D588" t="s">
        <v>47</v>
      </c>
      <c r="E588" t="s">
        <v>878</v>
      </c>
      <c r="F588" t="s">
        <v>54</v>
      </c>
      <c r="G588" s="2">
        <v>4</v>
      </c>
      <c r="H588" s="2">
        <v>200000</v>
      </c>
      <c r="I588">
        <v>7.0000000000000007E-2</v>
      </c>
      <c r="J588" s="2">
        <v>744000</v>
      </c>
    </row>
    <row r="589" spans="1:10" x14ac:dyDescent="0.25">
      <c r="A589" t="s">
        <v>672</v>
      </c>
      <c r="B589" s="1">
        <v>45302</v>
      </c>
      <c r="C589" t="s">
        <v>673</v>
      </c>
      <c r="D589" t="s">
        <v>47</v>
      </c>
      <c r="E589" t="s">
        <v>877</v>
      </c>
      <c r="F589" t="s">
        <v>37</v>
      </c>
      <c r="G589" s="2">
        <v>1</v>
      </c>
      <c r="H589" s="2">
        <v>200000</v>
      </c>
      <c r="I589">
        <v>0.08</v>
      </c>
      <c r="J589" s="2">
        <v>184000</v>
      </c>
    </row>
    <row r="590" spans="1:10" x14ac:dyDescent="0.25">
      <c r="A590" t="s">
        <v>675</v>
      </c>
      <c r="B590" s="1">
        <v>45302</v>
      </c>
      <c r="C590" t="s">
        <v>673</v>
      </c>
      <c r="D590" t="s">
        <v>51</v>
      </c>
      <c r="E590" t="s">
        <v>879</v>
      </c>
      <c r="F590" t="s">
        <v>33</v>
      </c>
      <c r="G590" s="2">
        <v>2</v>
      </c>
      <c r="H590" s="2">
        <v>150000</v>
      </c>
      <c r="I590">
        <v>0.18</v>
      </c>
      <c r="J590" s="2">
        <v>246000</v>
      </c>
    </row>
    <row r="591" spans="1:10" x14ac:dyDescent="0.25">
      <c r="A591" t="s">
        <v>676</v>
      </c>
      <c r="B591" s="1">
        <v>45294</v>
      </c>
      <c r="C591" t="s">
        <v>673</v>
      </c>
      <c r="D591" t="s">
        <v>47</v>
      </c>
      <c r="E591" t="s">
        <v>880</v>
      </c>
      <c r="F591" t="s">
        <v>54</v>
      </c>
      <c r="G591" s="2">
        <v>5</v>
      </c>
      <c r="H591" s="2">
        <v>200000</v>
      </c>
      <c r="I591">
        <v>0.18</v>
      </c>
      <c r="J591" s="2">
        <v>820000</v>
      </c>
    </row>
    <row r="592" spans="1:10" x14ac:dyDescent="0.25">
      <c r="A592" t="s">
        <v>677</v>
      </c>
      <c r="B592" s="1">
        <v>45306</v>
      </c>
      <c r="C592" t="s">
        <v>673</v>
      </c>
      <c r="D592" t="s">
        <v>47</v>
      </c>
      <c r="E592" t="s">
        <v>878</v>
      </c>
      <c r="F592" t="s">
        <v>33</v>
      </c>
      <c r="G592" s="2">
        <v>5</v>
      </c>
      <c r="H592" s="2">
        <v>200000</v>
      </c>
      <c r="I592">
        <v>0.1</v>
      </c>
      <c r="J592" s="2">
        <v>900000</v>
      </c>
    </row>
    <row r="593" spans="1:10" x14ac:dyDescent="0.25">
      <c r="A593" t="s">
        <v>678</v>
      </c>
      <c r="B593" s="1">
        <v>45307</v>
      </c>
      <c r="C593" t="s">
        <v>673</v>
      </c>
      <c r="D593" t="s">
        <v>35</v>
      </c>
      <c r="E593" t="s">
        <v>879</v>
      </c>
      <c r="F593" t="s">
        <v>37</v>
      </c>
      <c r="G593" s="2">
        <v>1</v>
      </c>
      <c r="H593" s="2">
        <v>45000</v>
      </c>
      <c r="I593">
        <v>0.19</v>
      </c>
      <c r="J593" s="2">
        <v>36400</v>
      </c>
    </row>
    <row r="594" spans="1:10" x14ac:dyDescent="0.25">
      <c r="A594" t="s">
        <v>679</v>
      </c>
      <c r="B594" s="1">
        <v>45307</v>
      </c>
      <c r="C594" t="s">
        <v>673</v>
      </c>
      <c r="D594" t="s">
        <v>60</v>
      </c>
      <c r="E594" t="s">
        <v>879</v>
      </c>
      <c r="F594" t="s">
        <v>37</v>
      </c>
      <c r="G594" s="2">
        <v>3</v>
      </c>
      <c r="H594" s="2">
        <v>95000</v>
      </c>
      <c r="I594">
        <v>0.12</v>
      </c>
      <c r="J594" s="2">
        <v>250800</v>
      </c>
    </row>
    <row r="595" spans="1:10" x14ac:dyDescent="0.25">
      <c r="A595" t="s">
        <v>680</v>
      </c>
      <c r="B595" s="1">
        <v>45330</v>
      </c>
      <c r="C595" t="s">
        <v>673</v>
      </c>
      <c r="D595" t="s">
        <v>35</v>
      </c>
      <c r="E595" t="s">
        <v>878</v>
      </c>
      <c r="F595" t="s">
        <v>33</v>
      </c>
      <c r="G595" s="2">
        <v>2</v>
      </c>
      <c r="H595" s="2">
        <v>45000</v>
      </c>
      <c r="I595">
        <v>0.18</v>
      </c>
      <c r="J595" s="2">
        <v>73800</v>
      </c>
    </row>
    <row r="596" spans="1:10" x14ac:dyDescent="0.25">
      <c r="A596" t="s">
        <v>681</v>
      </c>
      <c r="B596" s="1">
        <v>45348</v>
      </c>
      <c r="C596" t="s">
        <v>673</v>
      </c>
      <c r="D596" t="s">
        <v>24</v>
      </c>
      <c r="E596" t="s">
        <v>879</v>
      </c>
      <c r="F596" t="s">
        <v>33</v>
      </c>
      <c r="G596" s="2">
        <v>3</v>
      </c>
      <c r="H596" s="2">
        <v>75000</v>
      </c>
      <c r="I596">
        <v>7.0000000000000007E-2</v>
      </c>
      <c r="J596" s="2">
        <v>209200</v>
      </c>
    </row>
    <row r="597" spans="1:10" x14ac:dyDescent="0.25">
      <c r="A597" t="s">
        <v>682</v>
      </c>
      <c r="B597" s="1">
        <v>45334</v>
      </c>
      <c r="C597" t="s">
        <v>673</v>
      </c>
      <c r="D597" t="s">
        <v>75</v>
      </c>
      <c r="E597" t="s">
        <v>877</v>
      </c>
      <c r="F597" t="s">
        <v>37</v>
      </c>
      <c r="G597" s="2">
        <v>2</v>
      </c>
      <c r="H597" s="2">
        <v>120000</v>
      </c>
      <c r="I597">
        <v>0.05</v>
      </c>
      <c r="J597" s="2">
        <v>228000</v>
      </c>
    </row>
    <row r="598" spans="1:10" x14ac:dyDescent="0.25">
      <c r="A598" t="s">
        <v>683</v>
      </c>
      <c r="B598" s="1">
        <v>45348</v>
      </c>
      <c r="C598" t="s">
        <v>673</v>
      </c>
      <c r="D598" t="s">
        <v>40</v>
      </c>
      <c r="E598" t="s">
        <v>880</v>
      </c>
      <c r="F598" t="s">
        <v>54</v>
      </c>
      <c r="G598" s="2">
        <v>2</v>
      </c>
      <c r="H598" s="2">
        <v>85000</v>
      </c>
      <c r="I598">
        <v>0.17</v>
      </c>
      <c r="J598" s="2">
        <v>141100</v>
      </c>
    </row>
    <row r="599" spans="1:10" x14ac:dyDescent="0.25">
      <c r="A599" t="s">
        <v>684</v>
      </c>
      <c r="B599" s="1">
        <v>45324</v>
      </c>
      <c r="C599" t="s">
        <v>673</v>
      </c>
      <c r="D599" t="s">
        <v>30</v>
      </c>
      <c r="E599" t="s">
        <v>878</v>
      </c>
      <c r="F599" t="s">
        <v>28</v>
      </c>
      <c r="G599" s="2">
        <v>2</v>
      </c>
      <c r="H599" s="2">
        <v>60000</v>
      </c>
      <c r="I599">
        <v>0.05</v>
      </c>
      <c r="J599" s="2">
        <v>114000</v>
      </c>
    </row>
    <row r="600" spans="1:10" x14ac:dyDescent="0.25">
      <c r="A600" t="s">
        <v>685</v>
      </c>
      <c r="B600" s="1">
        <v>45346</v>
      </c>
      <c r="C600" t="s">
        <v>673</v>
      </c>
      <c r="D600" t="s">
        <v>24</v>
      </c>
      <c r="E600" t="s">
        <v>877</v>
      </c>
      <c r="F600" t="s">
        <v>37</v>
      </c>
      <c r="G600" s="2">
        <v>1</v>
      </c>
      <c r="H600" s="2">
        <v>75000</v>
      </c>
      <c r="I600">
        <v>7.0000000000000007E-2</v>
      </c>
      <c r="J600" s="2">
        <v>69800</v>
      </c>
    </row>
    <row r="601" spans="1:10" x14ac:dyDescent="0.25">
      <c r="A601" t="s">
        <v>686</v>
      </c>
      <c r="B601" s="1">
        <v>45325</v>
      </c>
      <c r="C601" t="s">
        <v>673</v>
      </c>
      <c r="D601" t="s">
        <v>60</v>
      </c>
      <c r="E601" t="s">
        <v>878</v>
      </c>
      <c r="F601" t="s">
        <v>28</v>
      </c>
      <c r="G601" s="2">
        <v>5</v>
      </c>
      <c r="H601" s="2">
        <v>95000</v>
      </c>
      <c r="I601">
        <v>0.1</v>
      </c>
      <c r="J601" s="2">
        <v>427500</v>
      </c>
    </row>
    <row r="602" spans="1:10" x14ac:dyDescent="0.25">
      <c r="A602" t="s">
        <v>687</v>
      </c>
      <c r="B602" s="1">
        <v>45324</v>
      </c>
      <c r="C602" t="s">
        <v>673</v>
      </c>
      <c r="D602" t="s">
        <v>24</v>
      </c>
      <c r="E602" t="s">
        <v>879</v>
      </c>
      <c r="F602" t="s">
        <v>28</v>
      </c>
      <c r="G602" s="2">
        <v>3</v>
      </c>
      <c r="H602" s="2">
        <v>75000</v>
      </c>
      <c r="I602">
        <v>0.05</v>
      </c>
      <c r="J602" s="2">
        <v>213800</v>
      </c>
    </row>
    <row r="603" spans="1:10" x14ac:dyDescent="0.25">
      <c r="A603" t="s">
        <v>688</v>
      </c>
      <c r="B603" s="1">
        <v>45369</v>
      </c>
      <c r="C603" t="s">
        <v>673</v>
      </c>
      <c r="D603" t="s">
        <v>75</v>
      </c>
      <c r="E603" t="s">
        <v>877</v>
      </c>
      <c r="F603" t="s">
        <v>33</v>
      </c>
      <c r="G603" s="2">
        <v>4</v>
      </c>
      <c r="H603" s="2">
        <v>120000</v>
      </c>
      <c r="I603">
        <v>0.12</v>
      </c>
      <c r="J603" s="2">
        <v>422400</v>
      </c>
    </row>
    <row r="604" spans="1:10" x14ac:dyDescent="0.25">
      <c r="A604" t="s">
        <v>689</v>
      </c>
      <c r="B604" s="1">
        <v>45373</v>
      </c>
      <c r="C604" t="s">
        <v>673</v>
      </c>
      <c r="D604" t="s">
        <v>24</v>
      </c>
      <c r="E604" t="s">
        <v>880</v>
      </c>
      <c r="F604" t="s">
        <v>28</v>
      </c>
      <c r="G604" s="2">
        <v>5</v>
      </c>
      <c r="H604" s="2">
        <v>75000</v>
      </c>
      <c r="I604">
        <v>0.08</v>
      </c>
      <c r="J604" s="2">
        <v>345000</v>
      </c>
    </row>
    <row r="605" spans="1:10" x14ac:dyDescent="0.25">
      <c r="A605" t="s">
        <v>690</v>
      </c>
      <c r="B605" s="1">
        <v>45361</v>
      </c>
      <c r="C605" t="s">
        <v>673</v>
      </c>
      <c r="D605" t="s">
        <v>47</v>
      </c>
      <c r="E605" t="s">
        <v>879</v>
      </c>
      <c r="F605" t="s">
        <v>37</v>
      </c>
      <c r="G605" s="2">
        <v>2</v>
      </c>
      <c r="H605" s="2">
        <v>200000</v>
      </c>
      <c r="I605">
        <v>0.09</v>
      </c>
      <c r="J605" s="2">
        <v>364000</v>
      </c>
    </row>
    <row r="606" spans="1:10" x14ac:dyDescent="0.25">
      <c r="A606" t="s">
        <v>691</v>
      </c>
      <c r="B606" s="1">
        <v>45377</v>
      </c>
      <c r="C606" t="s">
        <v>673</v>
      </c>
      <c r="D606" t="s">
        <v>35</v>
      </c>
      <c r="E606" t="s">
        <v>880</v>
      </c>
      <c r="F606" t="s">
        <v>33</v>
      </c>
      <c r="G606" s="2">
        <v>5</v>
      </c>
      <c r="H606" s="2">
        <v>45000</v>
      </c>
      <c r="I606">
        <v>0.14000000000000001</v>
      </c>
      <c r="J606" s="2">
        <v>193500</v>
      </c>
    </row>
    <row r="607" spans="1:10" x14ac:dyDescent="0.25">
      <c r="A607" t="s">
        <v>692</v>
      </c>
      <c r="B607" s="1">
        <v>45370</v>
      </c>
      <c r="C607" t="s">
        <v>673</v>
      </c>
      <c r="D607" t="s">
        <v>30</v>
      </c>
      <c r="E607" t="s">
        <v>877</v>
      </c>
      <c r="F607" t="s">
        <v>37</v>
      </c>
      <c r="G607" s="2">
        <v>1</v>
      </c>
      <c r="H607" s="2">
        <v>60000</v>
      </c>
      <c r="I607">
        <v>0.19</v>
      </c>
      <c r="J607" s="2">
        <v>48600</v>
      </c>
    </row>
    <row r="608" spans="1:10" x14ac:dyDescent="0.25">
      <c r="A608" t="s">
        <v>693</v>
      </c>
      <c r="B608" s="1">
        <v>45359</v>
      </c>
      <c r="C608" t="s">
        <v>673</v>
      </c>
      <c r="D608" t="s">
        <v>75</v>
      </c>
      <c r="E608" t="s">
        <v>878</v>
      </c>
      <c r="F608" t="s">
        <v>28</v>
      </c>
      <c r="G608" s="2">
        <v>2</v>
      </c>
      <c r="H608" s="2">
        <v>120000</v>
      </c>
      <c r="I608">
        <v>0.1</v>
      </c>
      <c r="J608" s="2">
        <v>216000</v>
      </c>
    </row>
    <row r="609" spans="1:10" x14ac:dyDescent="0.25">
      <c r="A609" t="s">
        <v>694</v>
      </c>
      <c r="B609" s="1">
        <v>45407</v>
      </c>
      <c r="C609" t="s">
        <v>673</v>
      </c>
      <c r="D609" t="s">
        <v>47</v>
      </c>
      <c r="E609" t="s">
        <v>877</v>
      </c>
      <c r="F609" t="s">
        <v>33</v>
      </c>
      <c r="G609" s="2">
        <v>2</v>
      </c>
      <c r="H609" s="2">
        <v>200000</v>
      </c>
      <c r="I609">
        <v>0.16</v>
      </c>
      <c r="J609" s="2">
        <v>336000</v>
      </c>
    </row>
    <row r="610" spans="1:10" x14ac:dyDescent="0.25">
      <c r="A610" t="s">
        <v>695</v>
      </c>
      <c r="B610" s="1">
        <v>45383</v>
      </c>
      <c r="C610" t="s">
        <v>673</v>
      </c>
      <c r="D610" t="s">
        <v>47</v>
      </c>
      <c r="E610" t="s">
        <v>878</v>
      </c>
      <c r="F610" t="s">
        <v>28</v>
      </c>
      <c r="G610" s="2">
        <v>5</v>
      </c>
      <c r="H610" s="2">
        <v>200000</v>
      </c>
      <c r="I610">
        <v>0.08</v>
      </c>
      <c r="J610" s="2">
        <v>920000</v>
      </c>
    </row>
    <row r="611" spans="1:10" x14ac:dyDescent="0.25">
      <c r="A611" t="s">
        <v>696</v>
      </c>
      <c r="B611" s="1">
        <v>45403</v>
      </c>
      <c r="C611" t="s">
        <v>673</v>
      </c>
      <c r="D611" t="s">
        <v>35</v>
      </c>
      <c r="E611" t="s">
        <v>879</v>
      </c>
      <c r="F611" t="s">
        <v>28</v>
      </c>
      <c r="G611" s="2">
        <v>4</v>
      </c>
      <c r="H611" s="2">
        <v>45000</v>
      </c>
      <c r="I611">
        <v>0.15</v>
      </c>
      <c r="J611" s="2">
        <v>153000</v>
      </c>
    </row>
    <row r="612" spans="1:10" x14ac:dyDescent="0.25">
      <c r="A612" t="s">
        <v>697</v>
      </c>
      <c r="B612" s="1">
        <v>45400</v>
      </c>
      <c r="C612" t="s">
        <v>673</v>
      </c>
      <c r="D612" t="s">
        <v>30</v>
      </c>
      <c r="E612" t="s">
        <v>878</v>
      </c>
      <c r="F612" t="s">
        <v>37</v>
      </c>
      <c r="G612" s="2">
        <v>3</v>
      </c>
      <c r="H612" s="2">
        <v>60000</v>
      </c>
      <c r="I612">
        <v>7.0000000000000007E-2</v>
      </c>
      <c r="J612" s="2">
        <v>167400</v>
      </c>
    </row>
    <row r="613" spans="1:10" x14ac:dyDescent="0.25">
      <c r="A613" t="s">
        <v>698</v>
      </c>
      <c r="B613" s="1">
        <v>45389</v>
      </c>
      <c r="C613" t="s">
        <v>673</v>
      </c>
      <c r="D613" t="s">
        <v>75</v>
      </c>
      <c r="E613" t="s">
        <v>879</v>
      </c>
      <c r="F613" t="s">
        <v>37</v>
      </c>
      <c r="G613" s="2">
        <v>5</v>
      </c>
      <c r="H613" s="2">
        <v>120000</v>
      </c>
      <c r="I613">
        <v>0.16</v>
      </c>
      <c r="J613" s="2">
        <v>504000</v>
      </c>
    </row>
    <row r="614" spans="1:10" x14ac:dyDescent="0.25">
      <c r="A614" t="s">
        <v>699</v>
      </c>
      <c r="B614" s="1">
        <v>45386</v>
      </c>
      <c r="C614" t="s">
        <v>673</v>
      </c>
      <c r="D614" t="s">
        <v>60</v>
      </c>
      <c r="E614" t="s">
        <v>879</v>
      </c>
      <c r="F614" t="s">
        <v>54</v>
      </c>
      <c r="G614" s="2">
        <v>4</v>
      </c>
      <c r="H614" s="2">
        <v>95000</v>
      </c>
      <c r="I614">
        <v>0.13</v>
      </c>
      <c r="J614" s="2">
        <v>330600</v>
      </c>
    </row>
    <row r="615" spans="1:10" x14ac:dyDescent="0.25">
      <c r="A615" t="s">
        <v>700</v>
      </c>
      <c r="B615" s="1">
        <v>45389</v>
      </c>
      <c r="C615" t="s">
        <v>673</v>
      </c>
      <c r="D615" t="s">
        <v>24</v>
      </c>
      <c r="E615" t="s">
        <v>879</v>
      </c>
      <c r="F615" t="s">
        <v>28</v>
      </c>
      <c r="G615" s="2">
        <v>4</v>
      </c>
      <c r="H615" s="2">
        <v>75000</v>
      </c>
      <c r="I615">
        <v>0.2</v>
      </c>
      <c r="J615" s="2">
        <v>240000</v>
      </c>
    </row>
    <row r="616" spans="1:10" x14ac:dyDescent="0.25">
      <c r="A616" t="s">
        <v>701</v>
      </c>
      <c r="B616" s="1">
        <v>45404</v>
      </c>
      <c r="C616" t="s">
        <v>673</v>
      </c>
      <c r="D616" t="s">
        <v>40</v>
      </c>
      <c r="E616" t="s">
        <v>877</v>
      </c>
      <c r="F616" t="s">
        <v>37</v>
      </c>
      <c r="G616" s="2">
        <v>4</v>
      </c>
      <c r="H616" s="2">
        <v>85000</v>
      </c>
      <c r="I616">
        <v>0.14000000000000001</v>
      </c>
      <c r="J616" s="2">
        <v>292400</v>
      </c>
    </row>
    <row r="617" spans="1:10" x14ac:dyDescent="0.25">
      <c r="A617" t="s">
        <v>702</v>
      </c>
      <c r="B617" s="1">
        <v>45438</v>
      </c>
      <c r="C617" t="s">
        <v>673</v>
      </c>
      <c r="D617" t="s">
        <v>35</v>
      </c>
      <c r="E617" t="s">
        <v>879</v>
      </c>
      <c r="F617" t="s">
        <v>37</v>
      </c>
      <c r="G617" s="2">
        <v>1</v>
      </c>
      <c r="H617" s="2">
        <v>45000</v>
      </c>
      <c r="I617">
        <v>0.15</v>
      </c>
      <c r="J617" s="2">
        <v>38200</v>
      </c>
    </row>
    <row r="618" spans="1:10" x14ac:dyDescent="0.25">
      <c r="A618" t="s">
        <v>703</v>
      </c>
      <c r="B618" s="1">
        <v>45424</v>
      </c>
      <c r="C618" t="s">
        <v>673</v>
      </c>
      <c r="D618" t="s">
        <v>35</v>
      </c>
      <c r="E618" t="s">
        <v>880</v>
      </c>
      <c r="F618" t="s">
        <v>28</v>
      </c>
      <c r="G618" s="2">
        <v>4</v>
      </c>
      <c r="H618" s="2">
        <v>45000</v>
      </c>
      <c r="I618">
        <v>0.19</v>
      </c>
      <c r="J618" s="2">
        <v>145800</v>
      </c>
    </row>
    <row r="619" spans="1:10" x14ac:dyDescent="0.25">
      <c r="A619" t="s">
        <v>704</v>
      </c>
      <c r="B619" s="1">
        <v>45421</v>
      </c>
      <c r="C619" t="s">
        <v>673</v>
      </c>
      <c r="D619" t="s">
        <v>60</v>
      </c>
      <c r="E619" t="s">
        <v>878</v>
      </c>
      <c r="F619" t="s">
        <v>37</v>
      </c>
      <c r="G619" s="2">
        <v>2</v>
      </c>
      <c r="H619" s="2">
        <v>95000</v>
      </c>
      <c r="I619">
        <v>0.06</v>
      </c>
      <c r="J619" s="2">
        <v>178600</v>
      </c>
    </row>
    <row r="620" spans="1:10" x14ac:dyDescent="0.25">
      <c r="A620" t="s">
        <v>705</v>
      </c>
      <c r="B620" s="1">
        <v>45413</v>
      </c>
      <c r="C620" t="s">
        <v>673</v>
      </c>
      <c r="D620" t="s">
        <v>30</v>
      </c>
      <c r="E620" t="s">
        <v>878</v>
      </c>
      <c r="F620" t="s">
        <v>28</v>
      </c>
      <c r="G620" s="2">
        <v>2</v>
      </c>
      <c r="H620" s="2">
        <v>60000</v>
      </c>
      <c r="I620">
        <v>0.19</v>
      </c>
      <c r="J620" s="2">
        <v>97200</v>
      </c>
    </row>
    <row r="621" spans="1:10" x14ac:dyDescent="0.25">
      <c r="A621" t="s">
        <v>706</v>
      </c>
      <c r="B621" s="1">
        <v>45415</v>
      </c>
      <c r="C621" t="s">
        <v>673</v>
      </c>
      <c r="D621" t="s">
        <v>35</v>
      </c>
      <c r="E621" t="s">
        <v>880</v>
      </c>
      <c r="F621" t="s">
        <v>37</v>
      </c>
      <c r="G621" s="2">
        <v>3</v>
      </c>
      <c r="H621" s="2">
        <v>45000</v>
      </c>
      <c r="I621">
        <v>0.17</v>
      </c>
      <c r="J621" s="2">
        <v>112000</v>
      </c>
    </row>
    <row r="622" spans="1:10" x14ac:dyDescent="0.25">
      <c r="A622" t="s">
        <v>707</v>
      </c>
      <c r="B622" s="1">
        <v>45458</v>
      </c>
      <c r="C622" t="s">
        <v>673</v>
      </c>
      <c r="D622" t="s">
        <v>24</v>
      </c>
      <c r="E622" t="s">
        <v>880</v>
      </c>
      <c r="F622" t="s">
        <v>54</v>
      </c>
      <c r="G622" s="2">
        <v>1</v>
      </c>
      <c r="H622" s="2">
        <v>75000</v>
      </c>
      <c r="I622">
        <v>0.12</v>
      </c>
      <c r="J622" s="2">
        <v>66000</v>
      </c>
    </row>
    <row r="623" spans="1:10" x14ac:dyDescent="0.25">
      <c r="A623" t="s">
        <v>708</v>
      </c>
      <c r="B623" s="1">
        <v>45450</v>
      </c>
      <c r="C623" t="s">
        <v>673</v>
      </c>
      <c r="D623" t="s">
        <v>75</v>
      </c>
      <c r="E623" t="s">
        <v>878</v>
      </c>
      <c r="F623" t="s">
        <v>28</v>
      </c>
      <c r="G623" s="2">
        <v>4</v>
      </c>
      <c r="H623" s="2">
        <v>120000</v>
      </c>
      <c r="I623">
        <v>0.06</v>
      </c>
      <c r="J623" s="2">
        <v>451200</v>
      </c>
    </row>
    <row r="624" spans="1:10" x14ac:dyDescent="0.25">
      <c r="A624" t="s">
        <v>709</v>
      </c>
      <c r="B624" s="1">
        <v>45459</v>
      </c>
      <c r="C624" t="s">
        <v>673</v>
      </c>
      <c r="D624" t="s">
        <v>40</v>
      </c>
      <c r="E624" t="s">
        <v>877</v>
      </c>
      <c r="F624" t="s">
        <v>37</v>
      </c>
      <c r="G624" s="2">
        <v>3</v>
      </c>
      <c r="H624" s="2">
        <v>85000</v>
      </c>
      <c r="I624">
        <v>0.17</v>
      </c>
      <c r="J624" s="2">
        <v>211600</v>
      </c>
    </row>
    <row r="625" spans="1:10" x14ac:dyDescent="0.25">
      <c r="A625" t="s">
        <v>710</v>
      </c>
      <c r="B625" s="1">
        <v>45471</v>
      </c>
      <c r="C625" t="s">
        <v>673</v>
      </c>
      <c r="D625" t="s">
        <v>35</v>
      </c>
      <c r="E625" t="s">
        <v>879</v>
      </c>
      <c r="F625" t="s">
        <v>28</v>
      </c>
      <c r="G625" s="2">
        <v>2</v>
      </c>
      <c r="H625" s="2">
        <v>45000</v>
      </c>
      <c r="I625">
        <v>0.19</v>
      </c>
      <c r="J625" s="2">
        <v>72900</v>
      </c>
    </row>
    <row r="626" spans="1:10" x14ac:dyDescent="0.25">
      <c r="A626" t="s">
        <v>711</v>
      </c>
      <c r="B626" s="1">
        <v>45450</v>
      </c>
      <c r="C626" t="s">
        <v>673</v>
      </c>
      <c r="D626" t="s">
        <v>30</v>
      </c>
      <c r="E626" t="s">
        <v>877</v>
      </c>
      <c r="F626" t="s">
        <v>37</v>
      </c>
      <c r="G626" s="2">
        <v>2</v>
      </c>
      <c r="H626" s="2">
        <v>60000</v>
      </c>
      <c r="I626">
        <v>0.06</v>
      </c>
      <c r="J626" s="2">
        <v>112800</v>
      </c>
    </row>
    <row r="627" spans="1:10" x14ac:dyDescent="0.25">
      <c r="A627" t="s">
        <v>712</v>
      </c>
      <c r="B627" s="1">
        <v>45484</v>
      </c>
      <c r="C627" t="s">
        <v>673</v>
      </c>
      <c r="D627" t="s">
        <v>47</v>
      </c>
      <c r="E627" t="s">
        <v>878</v>
      </c>
      <c r="F627" t="s">
        <v>54</v>
      </c>
      <c r="G627" s="2">
        <v>2</v>
      </c>
      <c r="H627" s="2">
        <v>200000</v>
      </c>
      <c r="I627">
        <v>0.13</v>
      </c>
      <c r="J627" s="2">
        <v>348000</v>
      </c>
    </row>
    <row r="628" spans="1:10" x14ac:dyDescent="0.25">
      <c r="A628" t="s">
        <v>713</v>
      </c>
      <c r="B628" s="1">
        <v>45479</v>
      </c>
      <c r="C628" t="s">
        <v>673</v>
      </c>
      <c r="D628" t="s">
        <v>75</v>
      </c>
      <c r="E628" t="s">
        <v>877</v>
      </c>
      <c r="F628" t="s">
        <v>54</v>
      </c>
      <c r="G628" s="2">
        <v>3</v>
      </c>
      <c r="H628" s="2">
        <v>120000</v>
      </c>
      <c r="I628">
        <v>0.17</v>
      </c>
      <c r="J628" s="2">
        <v>298800</v>
      </c>
    </row>
    <row r="629" spans="1:10" x14ac:dyDescent="0.25">
      <c r="A629" t="s">
        <v>714</v>
      </c>
      <c r="B629" s="1">
        <v>45477</v>
      </c>
      <c r="C629" t="s">
        <v>673</v>
      </c>
      <c r="D629" t="s">
        <v>30</v>
      </c>
      <c r="E629" t="s">
        <v>879</v>
      </c>
      <c r="F629" t="s">
        <v>37</v>
      </c>
      <c r="G629" s="2">
        <v>4</v>
      </c>
      <c r="H629" s="2">
        <v>60000</v>
      </c>
      <c r="I629">
        <v>0.08</v>
      </c>
      <c r="J629" s="2">
        <v>220800</v>
      </c>
    </row>
    <row r="630" spans="1:10" x14ac:dyDescent="0.25">
      <c r="A630" t="s">
        <v>715</v>
      </c>
      <c r="B630" s="1">
        <v>45485</v>
      </c>
      <c r="C630" t="s">
        <v>673</v>
      </c>
      <c r="D630" t="s">
        <v>47</v>
      </c>
      <c r="E630" t="s">
        <v>877</v>
      </c>
      <c r="F630" t="s">
        <v>28</v>
      </c>
      <c r="G630" s="2">
        <v>1</v>
      </c>
      <c r="H630" s="2">
        <v>200000</v>
      </c>
      <c r="I630">
        <v>0.1</v>
      </c>
      <c r="J630" s="2">
        <v>180000</v>
      </c>
    </row>
    <row r="631" spans="1:10" x14ac:dyDescent="0.25">
      <c r="A631" t="s">
        <v>716</v>
      </c>
      <c r="B631" s="1">
        <v>45477</v>
      </c>
      <c r="C631" t="s">
        <v>673</v>
      </c>
      <c r="D631" t="s">
        <v>30</v>
      </c>
      <c r="E631" t="s">
        <v>878</v>
      </c>
      <c r="F631" t="s">
        <v>28</v>
      </c>
      <c r="G631" s="2">
        <v>4</v>
      </c>
      <c r="H631" s="2">
        <v>60000</v>
      </c>
      <c r="I631">
        <v>0.09</v>
      </c>
      <c r="J631" s="2">
        <v>218400</v>
      </c>
    </row>
    <row r="632" spans="1:10" x14ac:dyDescent="0.25">
      <c r="A632" t="s">
        <v>717</v>
      </c>
      <c r="B632" s="1">
        <v>45481</v>
      </c>
      <c r="C632" t="s">
        <v>673</v>
      </c>
      <c r="D632" t="s">
        <v>30</v>
      </c>
      <c r="E632" t="s">
        <v>878</v>
      </c>
      <c r="F632" t="s">
        <v>37</v>
      </c>
      <c r="G632" s="2">
        <v>3</v>
      </c>
      <c r="H632" s="2">
        <v>60000</v>
      </c>
      <c r="I632">
        <v>0.12</v>
      </c>
      <c r="J632" s="2">
        <v>158400</v>
      </c>
    </row>
    <row r="633" spans="1:10" x14ac:dyDescent="0.25">
      <c r="A633" t="s">
        <v>718</v>
      </c>
      <c r="B633" s="1">
        <v>45480</v>
      </c>
      <c r="C633" t="s">
        <v>673</v>
      </c>
      <c r="D633" t="s">
        <v>35</v>
      </c>
      <c r="E633" t="s">
        <v>879</v>
      </c>
      <c r="F633" t="s">
        <v>54</v>
      </c>
      <c r="G633" s="2">
        <v>5</v>
      </c>
      <c r="H633" s="2">
        <v>45000</v>
      </c>
      <c r="I633">
        <v>0.1</v>
      </c>
      <c r="J633" s="2">
        <v>202500</v>
      </c>
    </row>
    <row r="634" spans="1:10" x14ac:dyDescent="0.25">
      <c r="A634" t="s">
        <v>719</v>
      </c>
      <c r="B634" s="1">
        <v>45532</v>
      </c>
      <c r="C634" t="s">
        <v>673</v>
      </c>
      <c r="D634" t="s">
        <v>30</v>
      </c>
      <c r="E634" t="s">
        <v>880</v>
      </c>
      <c r="F634" t="s">
        <v>37</v>
      </c>
      <c r="G634" s="2">
        <v>5</v>
      </c>
      <c r="H634" s="2">
        <v>60000</v>
      </c>
      <c r="I634">
        <v>0.18</v>
      </c>
      <c r="J634" s="2">
        <v>246000</v>
      </c>
    </row>
    <row r="635" spans="1:10" x14ac:dyDescent="0.25">
      <c r="A635" t="s">
        <v>720</v>
      </c>
      <c r="B635" s="1">
        <v>45515</v>
      </c>
      <c r="C635" t="s">
        <v>673</v>
      </c>
      <c r="D635" t="s">
        <v>35</v>
      </c>
      <c r="E635" t="s">
        <v>879</v>
      </c>
      <c r="F635" t="s">
        <v>37</v>
      </c>
      <c r="G635" s="2">
        <v>4</v>
      </c>
      <c r="H635" s="2">
        <v>45000</v>
      </c>
      <c r="I635">
        <v>7.0000000000000007E-2</v>
      </c>
      <c r="J635" s="2">
        <v>167400</v>
      </c>
    </row>
    <row r="636" spans="1:10" x14ac:dyDescent="0.25">
      <c r="A636" t="s">
        <v>721</v>
      </c>
      <c r="B636" s="1">
        <v>45530</v>
      </c>
      <c r="C636" t="s">
        <v>673</v>
      </c>
      <c r="D636" t="s">
        <v>24</v>
      </c>
      <c r="E636" t="s">
        <v>879</v>
      </c>
      <c r="F636" t="s">
        <v>33</v>
      </c>
      <c r="G636" s="2">
        <v>1</v>
      </c>
      <c r="H636" s="2">
        <v>75000</v>
      </c>
      <c r="I636">
        <v>0.11</v>
      </c>
      <c r="J636" s="2">
        <v>66800</v>
      </c>
    </row>
    <row r="637" spans="1:10" x14ac:dyDescent="0.25">
      <c r="A637" t="s">
        <v>722</v>
      </c>
      <c r="B637" s="1">
        <v>45537</v>
      </c>
      <c r="C637" t="s">
        <v>673</v>
      </c>
      <c r="D637" t="s">
        <v>60</v>
      </c>
      <c r="E637" t="s">
        <v>877</v>
      </c>
      <c r="F637" t="s">
        <v>37</v>
      </c>
      <c r="G637" s="2">
        <v>5</v>
      </c>
      <c r="H637" s="2">
        <v>95000</v>
      </c>
      <c r="I637">
        <v>0.19</v>
      </c>
      <c r="J637" s="2">
        <v>384800</v>
      </c>
    </row>
    <row r="638" spans="1:10" x14ac:dyDescent="0.25">
      <c r="A638" t="s">
        <v>723</v>
      </c>
      <c r="B638" s="1">
        <v>45545</v>
      </c>
      <c r="C638" t="s">
        <v>673</v>
      </c>
      <c r="D638" t="s">
        <v>30</v>
      </c>
      <c r="E638" t="s">
        <v>877</v>
      </c>
      <c r="F638" t="s">
        <v>28</v>
      </c>
      <c r="G638" s="2">
        <v>4</v>
      </c>
      <c r="H638" s="2">
        <v>60000</v>
      </c>
      <c r="I638">
        <v>0.09</v>
      </c>
      <c r="J638" s="2">
        <v>218400</v>
      </c>
    </row>
    <row r="639" spans="1:10" x14ac:dyDescent="0.25">
      <c r="A639" t="s">
        <v>724</v>
      </c>
      <c r="B639" s="1">
        <v>45547</v>
      </c>
      <c r="C639" t="s">
        <v>673</v>
      </c>
      <c r="D639" t="s">
        <v>47</v>
      </c>
      <c r="E639" t="s">
        <v>880</v>
      </c>
      <c r="F639" t="s">
        <v>28</v>
      </c>
      <c r="G639" s="2">
        <v>1</v>
      </c>
      <c r="H639" s="2">
        <v>200000</v>
      </c>
      <c r="I639">
        <v>0.08</v>
      </c>
      <c r="J639" s="2">
        <v>184000</v>
      </c>
    </row>
    <row r="640" spans="1:10" x14ac:dyDescent="0.25">
      <c r="A640" t="s">
        <v>725</v>
      </c>
      <c r="B640" s="1">
        <v>45538</v>
      </c>
      <c r="C640" t="s">
        <v>673</v>
      </c>
      <c r="D640" t="s">
        <v>47</v>
      </c>
      <c r="E640" t="s">
        <v>879</v>
      </c>
      <c r="F640" t="s">
        <v>54</v>
      </c>
      <c r="G640" s="2">
        <v>5</v>
      </c>
      <c r="H640" s="2">
        <v>200000</v>
      </c>
      <c r="I640">
        <v>0.08</v>
      </c>
      <c r="J640" s="2">
        <v>920000</v>
      </c>
    </row>
    <row r="641" spans="1:10" x14ac:dyDescent="0.25">
      <c r="A641" t="s">
        <v>726</v>
      </c>
      <c r="B641" s="1">
        <v>45559</v>
      </c>
      <c r="C641" t="s">
        <v>673</v>
      </c>
      <c r="D641" t="s">
        <v>30</v>
      </c>
      <c r="E641" t="s">
        <v>880</v>
      </c>
      <c r="F641" t="s">
        <v>33</v>
      </c>
      <c r="G641" s="2">
        <v>2</v>
      </c>
      <c r="H641" s="2">
        <v>60000</v>
      </c>
      <c r="I641">
        <v>0.13</v>
      </c>
      <c r="J641" s="2">
        <v>104400</v>
      </c>
    </row>
    <row r="642" spans="1:10" x14ac:dyDescent="0.25">
      <c r="A642" t="s">
        <v>727</v>
      </c>
      <c r="B642" s="1">
        <v>45554</v>
      </c>
      <c r="C642" t="s">
        <v>673</v>
      </c>
      <c r="D642" t="s">
        <v>60</v>
      </c>
      <c r="E642" t="s">
        <v>878</v>
      </c>
      <c r="F642" t="s">
        <v>28</v>
      </c>
      <c r="G642" s="2">
        <v>2</v>
      </c>
      <c r="H642" s="2">
        <v>95000</v>
      </c>
      <c r="I642">
        <v>0.14000000000000001</v>
      </c>
      <c r="J642" s="2">
        <v>163400</v>
      </c>
    </row>
    <row r="643" spans="1:10" x14ac:dyDescent="0.25">
      <c r="A643" t="s">
        <v>728</v>
      </c>
      <c r="B643" s="1">
        <v>45542</v>
      </c>
      <c r="C643" t="s">
        <v>673</v>
      </c>
      <c r="D643" t="s">
        <v>75</v>
      </c>
      <c r="E643" t="s">
        <v>877</v>
      </c>
      <c r="F643" t="s">
        <v>28</v>
      </c>
      <c r="G643" s="2">
        <v>3</v>
      </c>
      <c r="H643" s="2">
        <v>120000</v>
      </c>
      <c r="I643">
        <v>0.17</v>
      </c>
      <c r="J643" s="2">
        <v>298800</v>
      </c>
    </row>
    <row r="644" spans="1:10" x14ac:dyDescent="0.25">
      <c r="A644" t="s">
        <v>729</v>
      </c>
      <c r="B644" s="1">
        <v>45552</v>
      </c>
      <c r="C644" t="s">
        <v>673</v>
      </c>
      <c r="D644" t="s">
        <v>75</v>
      </c>
      <c r="E644" t="s">
        <v>879</v>
      </c>
      <c r="F644" t="s">
        <v>37</v>
      </c>
      <c r="G644" s="2">
        <v>5</v>
      </c>
      <c r="H644" s="2">
        <v>120000</v>
      </c>
      <c r="I644">
        <v>0.13</v>
      </c>
      <c r="J644" s="2">
        <v>522000</v>
      </c>
    </row>
    <row r="645" spans="1:10" x14ac:dyDescent="0.25">
      <c r="A645" t="s">
        <v>730</v>
      </c>
      <c r="B645" s="1">
        <v>45558</v>
      </c>
      <c r="C645" t="s">
        <v>673</v>
      </c>
      <c r="D645" t="s">
        <v>40</v>
      </c>
      <c r="E645" t="s">
        <v>880</v>
      </c>
      <c r="F645" t="s">
        <v>54</v>
      </c>
      <c r="G645" s="2">
        <v>4</v>
      </c>
      <c r="H645" s="2">
        <v>85000</v>
      </c>
      <c r="I645">
        <v>0.15</v>
      </c>
      <c r="J645" s="2">
        <v>289000</v>
      </c>
    </row>
    <row r="646" spans="1:10" x14ac:dyDescent="0.25">
      <c r="A646" t="s">
        <v>731</v>
      </c>
      <c r="B646" s="1">
        <v>45573</v>
      </c>
      <c r="C646" t="s">
        <v>673</v>
      </c>
      <c r="D646" t="s">
        <v>47</v>
      </c>
      <c r="E646" t="s">
        <v>877</v>
      </c>
      <c r="F646" t="s">
        <v>33</v>
      </c>
      <c r="G646" s="2">
        <v>5</v>
      </c>
      <c r="H646" s="2">
        <v>200000</v>
      </c>
      <c r="I646">
        <v>0.16</v>
      </c>
      <c r="J646" s="2">
        <v>840000</v>
      </c>
    </row>
    <row r="647" spans="1:10" x14ac:dyDescent="0.25">
      <c r="A647" t="s">
        <v>732</v>
      </c>
      <c r="B647" s="1">
        <v>45579</v>
      </c>
      <c r="C647" t="s">
        <v>673</v>
      </c>
      <c r="D647" t="s">
        <v>60</v>
      </c>
      <c r="E647" t="s">
        <v>877</v>
      </c>
      <c r="F647" t="s">
        <v>37</v>
      </c>
      <c r="G647" s="2">
        <v>5</v>
      </c>
      <c r="H647" s="2">
        <v>95000</v>
      </c>
      <c r="I647">
        <v>0.08</v>
      </c>
      <c r="J647" s="2">
        <v>437000</v>
      </c>
    </row>
    <row r="648" spans="1:10" x14ac:dyDescent="0.25">
      <c r="A648" t="s">
        <v>733</v>
      </c>
      <c r="B648" s="1">
        <v>45579</v>
      </c>
      <c r="C648" t="s">
        <v>673</v>
      </c>
      <c r="D648" t="s">
        <v>24</v>
      </c>
      <c r="E648" t="s">
        <v>878</v>
      </c>
      <c r="F648" t="s">
        <v>28</v>
      </c>
      <c r="G648" s="2">
        <v>5</v>
      </c>
      <c r="H648" s="2">
        <v>75000</v>
      </c>
      <c r="I648">
        <v>0.17</v>
      </c>
      <c r="J648" s="2">
        <v>311200</v>
      </c>
    </row>
    <row r="649" spans="1:10" x14ac:dyDescent="0.25">
      <c r="A649" t="s">
        <v>734</v>
      </c>
      <c r="B649" s="1">
        <v>45575</v>
      </c>
      <c r="C649" t="s">
        <v>673</v>
      </c>
      <c r="D649" t="s">
        <v>40</v>
      </c>
      <c r="E649" t="s">
        <v>877</v>
      </c>
      <c r="F649" t="s">
        <v>37</v>
      </c>
      <c r="G649" s="2">
        <v>2</v>
      </c>
      <c r="H649" s="2">
        <v>85000</v>
      </c>
      <c r="I649">
        <v>0.17</v>
      </c>
      <c r="J649" s="2">
        <v>141100</v>
      </c>
    </row>
    <row r="650" spans="1:10" x14ac:dyDescent="0.25">
      <c r="A650" t="s">
        <v>735</v>
      </c>
      <c r="B650" s="1">
        <v>45578</v>
      </c>
      <c r="C650" t="s">
        <v>673</v>
      </c>
      <c r="D650" t="s">
        <v>24</v>
      </c>
      <c r="E650" t="s">
        <v>877</v>
      </c>
      <c r="F650" t="s">
        <v>33</v>
      </c>
      <c r="G650" s="2">
        <v>2</v>
      </c>
      <c r="H650" s="2">
        <v>75000</v>
      </c>
      <c r="I650">
        <v>0.06</v>
      </c>
      <c r="J650" s="2">
        <v>141000</v>
      </c>
    </row>
    <row r="651" spans="1:10" x14ac:dyDescent="0.25">
      <c r="A651" t="s">
        <v>736</v>
      </c>
      <c r="B651" s="1">
        <v>45620</v>
      </c>
      <c r="C651" t="s">
        <v>673</v>
      </c>
      <c r="D651" t="s">
        <v>30</v>
      </c>
      <c r="E651" t="s">
        <v>880</v>
      </c>
      <c r="F651" t="s">
        <v>28</v>
      </c>
      <c r="G651" s="2">
        <v>1</v>
      </c>
      <c r="H651" s="2">
        <v>60000</v>
      </c>
      <c r="I651">
        <v>0.19</v>
      </c>
      <c r="J651" s="2">
        <v>48600</v>
      </c>
    </row>
    <row r="652" spans="1:10" x14ac:dyDescent="0.25">
      <c r="A652" t="s">
        <v>737</v>
      </c>
      <c r="B652" s="1">
        <v>45620</v>
      </c>
      <c r="C652" t="s">
        <v>673</v>
      </c>
      <c r="D652" t="s">
        <v>47</v>
      </c>
      <c r="E652" t="s">
        <v>878</v>
      </c>
      <c r="F652" t="s">
        <v>28</v>
      </c>
      <c r="G652" s="2">
        <v>3</v>
      </c>
      <c r="H652" s="2">
        <v>200000</v>
      </c>
      <c r="I652">
        <v>0.17</v>
      </c>
      <c r="J652" s="2">
        <v>498000</v>
      </c>
    </row>
    <row r="653" spans="1:10" x14ac:dyDescent="0.25">
      <c r="A653" t="s">
        <v>738</v>
      </c>
      <c r="B653" s="1">
        <v>45609</v>
      </c>
      <c r="C653" t="s">
        <v>673</v>
      </c>
      <c r="D653" t="s">
        <v>24</v>
      </c>
      <c r="E653" t="s">
        <v>879</v>
      </c>
      <c r="F653" t="s">
        <v>33</v>
      </c>
      <c r="G653" s="2">
        <v>3</v>
      </c>
      <c r="H653" s="2">
        <v>75000</v>
      </c>
      <c r="I653">
        <v>0.13</v>
      </c>
      <c r="J653" s="2">
        <v>195800</v>
      </c>
    </row>
    <row r="654" spans="1:10" x14ac:dyDescent="0.25">
      <c r="A654" t="s">
        <v>739</v>
      </c>
      <c r="B654" s="1">
        <v>45597</v>
      </c>
      <c r="C654" t="s">
        <v>673</v>
      </c>
      <c r="D654" t="s">
        <v>75</v>
      </c>
      <c r="E654" t="s">
        <v>879</v>
      </c>
      <c r="F654" t="s">
        <v>37</v>
      </c>
      <c r="G654" s="2">
        <v>1</v>
      </c>
      <c r="H654" s="2">
        <v>120000</v>
      </c>
      <c r="I654">
        <v>0.16</v>
      </c>
      <c r="J654" s="2">
        <v>100800</v>
      </c>
    </row>
    <row r="655" spans="1:10" x14ac:dyDescent="0.25">
      <c r="A655" t="s">
        <v>740</v>
      </c>
      <c r="B655" s="1">
        <v>45614</v>
      </c>
      <c r="C655" t="s">
        <v>673</v>
      </c>
      <c r="D655" t="s">
        <v>75</v>
      </c>
      <c r="E655" t="s">
        <v>878</v>
      </c>
      <c r="F655" t="s">
        <v>37</v>
      </c>
      <c r="G655" s="2">
        <v>5</v>
      </c>
      <c r="H655" s="2">
        <v>120000</v>
      </c>
      <c r="I655">
        <v>0.08</v>
      </c>
      <c r="J655" s="2">
        <v>552000</v>
      </c>
    </row>
    <row r="656" spans="1:10" x14ac:dyDescent="0.25">
      <c r="A656" t="s">
        <v>741</v>
      </c>
      <c r="B656" s="1">
        <v>45617</v>
      </c>
      <c r="C656" t="s">
        <v>673</v>
      </c>
      <c r="D656" t="s">
        <v>47</v>
      </c>
      <c r="E656" t="s">
        <v>879</v>
      </c>
      <c r="F656" t="s">
        <v>54</v>
      </c>
      <c r="G656" s="2">
        <v>1</v>
      </c>
      <c r="H656" s="2">
        <v>200000</v>
      </c>
      <c r="I656">
        <v>0.11</v>
      </c>
      <c r="J656" s="2">
        <v>178000</v>
      </c>
    </row>
    <row r="657" spans="1:10" x14ac:dyDescent="0.25">
      <c r="A657" t="s">
        <v>742</v>
      </c>
      <c r="B657" s="1">
        <v>45600</v>
      </c>
      <c r="C657" t="s">
        <v>673</v>
      </c>
      <c r="D657" t="s">
        <v>47</v>
      </c>
      <c r="E657" t="s">
        <v>878</v>
      </c>
      <c r="F657" t="s">
        <v>54</v>
      </c>
      <c r="G657" s="2">
        <v>3</v>
      </c>
      <c r="H657" s="2">
        <v>200000</v>
      </c>
      <c r="I657">
        <v>0.13</v>
      </c>
      <c r="J657" s="2">
        <v>522000</v>
      </c>
    </row>
    <row r="658" spans="1:10" x14ac:dyDescent="0.25">
      <c r="A658" t="s">
        <v>743</v>
      </c>
      <c r="B658" s="1">
        <v>45608</v>
      </c>
      <c r="C658" t="s">
        <v>673</v>
      </c>
      <c r="D658" t="s">
        <v>47</v>
      </c>
      <c r="E658" t="s">
        <v>878</v>
      </c>
      <c r="F658" t="s">
        <v>54</v>
      </c>
      <c r="G658" s="2">
        <v>5</v>
      </c>
      <c r="H658" s="2">
        <v>200000</v>
      </c>
      <c r="I658">
        <v>0.09</v>
      </c>
      <c r="J658" s="2">
        <v>910000</v>
      </c>
    </row>
    <row r="659" spans="1:10" x14ac:dyDescent="0.25">
      <c r="A659" t="s">
        <v>744</v>
      </c>
      <c r="B659" s="1">
        <v>45652</v>
      </c>
      <c r="C659" t="s">
        <v>673</v>
      </c>
      <c r="D659" t="s">
        <v>60</v>
      </c>
      <c r="E659" t="s">
        <v>879</v>
      </c>
      <c r="F659" t="s">
        <v>33</v>
      </c>
      <c r="G659" s="2">
        <v>3</v>
      </c>
      <c r="H659" s="2">
        <v>95000</v>
      </c>
      <c r="I659">
        <v>0.12</v>
      </c>
      <c r="J659" s="2">
        <v>250800</v>
      </c>
    </row>
    <row r="660" spans="1:10" x14ac:dyDescent="0.25">
      <c r="A660" t="s">
        <v>745</v>
      </c>
      <c r="B660" s="1">
        <v>45630</v>
      </c>
      <c r="C660" t="s">
        <v>673</v>
      </c>
      <c r="D660" t="s">
        <v>24</v>
      </c>
      <c r="E660" t="s">
        <v>879</v>
      </c>
      <c r="F660" t="s">
        <v>54</v>
      </c>
      <c r="G660" s="2">
        <v>3</v>
      </c>
      <c r="H660" s="2">
        <v>75000</v>
      </c>
      <c r="I660">
        <v>0.14000000000000001</v>
      </c>
      <c r="J660" s="2">
        <v>193500</v>
      </c>
    </row>
    <row r="661" spans="1:10" x14ac:dyDescent="0.25">
      <c r="A661" t="s">
        <v>746</v>
      </c>
      <c r="B661" s="1">
        <v>45653</v>
      </c>
      <c r="C661" t="s">
        <v>673</v>
      </c>
      <c r="D661" t="s">
        <v>75</v>
      </c>
      <c r="E661" t="s">
        <v>879</v>
      </c>
      <c r="F661" t="s">
        <v>28</v>
      </c>
      <c r="G661" s="2">
        <v>2</v>
      </c>
      <c r="H661" s="2">
        <v>120000</v>
      </c>
      <c r="I661">
        <v>0.11</v>
      </c>
      <c r="J661" s="2">
        <v>213600</v>
      </c>
    </row>
    <row r="662" spans="1:10" x14ac:dyDescent="0.25">
      <c r="A662" t="s">
        <v>747</v>
      </c>
      <c r="B662" s="1">
        <v>45639</v>
      </c>
      <c r="C662" t="s">
        <v>673</v>
      </c>
      <c r="D662" t="s">
        <v>35</v>
      </c>
      <c r="E662" t="s">
        <v>880</v>
      </c>
      <c r="F662" t="s">
        <v>28</v>
      </c>
      <c r="G662" s="2">
        <v>2</v>
      </c>
      <c r="H662" s="2">
        <v>45000</v>
      </c>
      <c r="I662">
        <v>0.09</v>
      </c>
      <c r="J662" s="2">
        <v>81900</v>
      </c>
    </row>
    <row r="663" spans="1:10" x14ac:dyDescent="0.25">
      <c r="A663" t="s">
        <v>748</v>
      </c>
      <c r="B663" s="1">
        <v>45309</v>
      </c>
      <c r="C663" t="s">
        <v>749</v>
      </c>
      <c r="D663" t="s">
        <v>24</v>
      </c>
      <c r="E663" t="s">
        <v>880</v>
      </c>
      <c r="F663" t="s">
        <v>54</v>
      </c>
      <c r="G663" s="2">
        <v>1</v>
      </c>
      <c r="H663" s="2">
        <v>75000</v>
      </c>
      <c r="I663">
        <v>0.05</v>
      </c>
      <c r="J663" s="2">
        <v>71200</v>
      </c>
    </row>
    <row r="664" spans="1:10" x14ac:dyDescent="0.25">
      <c r="A664" t="s">
        <v>751</v>
      </c>
      <c r="B664" s="1">
        <v>45303</v>
      </c>
      <c r="C664" t="s">
        <v>749</v>
      </c>
      <c r="D664" t="s">
        <v>30</v>
      </c>
      <c r="E664" t="s">
        <v>880</v>
      </c>
      <c r="F664" t="s">
        <v>28</v>
      </c>
      <c r="G664" s="2">
        <v>3</v>
      </c>
      <c r="H664" s="2">
        <v>60000</v>
      </c>
      <c r="I664">
        <v>0.03</v>
      </c>
      <c r="J664" s="2">
        <v>174600</v>
      </c>
    </row>
    <row r="665" spans="1:10" x14ac:dyDescent="0.25">
      <c r="A665" t="s">
        <v>752</v>
      </c>
      <c r="B665" s="1">
        <v>45303</v>
      </c>
      <c r="C665" t="s">
        <v>749</v>
      </c>
      <c r="D665" t="s">
        <v>51</v>
      </c>
      <c r="E665" t="s">
        <v>879</v>
      </c>
      <c r="F665" t="s">
        <v>54</v>
      </c>
      <c r="G665" s="2">
        <v>4</v>
      </c>
      <c r="H665" s="2">
        <v>150000</v>
      </c>
      <c r="I665">
        <v>0.1</v>
      </c>
      <c r="J665" s="2">
        <v>540000</v>
      </c>
    </row>
    <row r="666" spans="1:10" x14ac:dyDescent="0.25">
      <c r="A666" t="s">
        <v>753</v>
      </c>
      <c r="B666" s="1">
        <v>45292</v>
      </c>
      <c r="C666" t="s">
        <v>749</v>
      </c>
      <c r="D666" t="s">
        <v>35</v>
      </c>
      <c r="E666" t="s">
        <v>877</v>
      </c>
      <c r="F666" t="s">
        <v>54</v>
      </c>
      <c r="G666" s="2">
        <v>3</v>
      </c>
      <c r="H666" s="2">
        <v>45000</v>
      </c>
      <c r="I666">
        <v>0</v>
      </c>
      <c r="J666" s="2">
        <v>135000</v>
      </c>
    </row>
    <row r="667" spans="1:10" x14ac:dyDescent="0.25">
      <c r="A667" t="s">
        <v>754</v>
      </c>
      <c r="B667" s="1">
        <v>45317</v>
      </c>
      <c r="C667" t="s">
        <v>749</v>
      </c>
      <c r="D667" t="s">
        <v>75</v>
      </c>
      <c r="E667" t="s">
        <v>880</v>
      </c>
      <c r="F667" t="s">
        <v>37</v>
      </c>
      <c r="G667" s="2">
        <v>5</v>
      </c>
      <c r="H667" s="2">
        <v>120000</v>
      </c>
      <c r="I667">
        <v>0.11</v>
      </c>
      <c r="J667" s="2">
        <v>534000</v>
      </c>
    </row>
    <row r="668" spans="1:10" x14ac:dyDescent="0.25">
      <c r="A668" t="s">
        <v>755</v>
      </c>
      <c r="B668" s="1">
        <v>45314</v>
      </c>
      <c r="C668" t="s">
        <v>749</v>
      </c>
      <c r="D668" t="s">
        <v>47</v>
      </c>
      <c r="E668" t="s">
        <v>880</v>
      </c>
      <c r="F668" t="s">
        <v>28</v>
      </c>
      <c r="G668" s="2">
        <v>2</v>
      </c>
      <c r="H668" s="2">
        <v>200000</v>
      </c>
      <c r="I668">
        <v>0.1</v>
      </c>
      <c r="J668" s="2">
        <v>360000</v>
      </c>
    </row>
    <row r="669" spans="1:10" x14ac:dyDescent="0.25">
      <c r="A669" t="s">
        <v>756</v>
      </c>
      <c r="B669" s="1">
        <v>45302</v>
      </c>
      <c r="C669" t="s">
        <v>749</v>
      </c>
      <c r="D669" t="s">
        <v>60</v>
      </c>
      <c r="E669" t="s">
        <v>878</v>
      </c>
      <c r="F669" t="s">
        <v>54</v>
      </c>
      <c r="G669" s="2">
        <v>1</v>
      </c>
      <c r="H669" s="2">
        <v>95000</v>
      </c>
      <c r="I669">
        <v>0.09</v>
      </c>
      <c r="J669" s="2">
        <v>86400</v>
      </c>
    </row>
    <row r="670" spans="1:10" x14ac:dyDescent="0.25">
      <c r="A670" t="s">
        <v>757</v>
      </c>
      <c r="B670" s="1">
        <v>45334</v>
      </c>
      <c r="C670" t="s">
        <v>749</v>
      </c>
      <c r="D670" t="s">
        <v>40</v>
      </c>
      <c r="E670" t="s">
        <v>878</v>
      </c>
      <c r="F670" t="s">
        <v>28</v>
      </c>
      <c r="G670" s="2">
        <v>3</v>
      </c>
      <c r="H670" s="2">
        <v>85000</v>
      </c>
      <c r="I670">
        <v>0.03</v>
      </c>
      <c r="J670" s="2">
        <v>247400</v>
      </c>
    </row>
    <row r="671" spans="1:10" x14ac:dyDescent="0.25">
      <c r="A671" t="s">
        <v>758</v>
      </c>
      <c r="B671" s="1">
        <v>45328</v>
      </c>
      <c r="C671" t="s">
        <v>749</v>
      </c>
      <c r="D671" t="s">
        <v>40</v>
      </c>
      <c r="E671" t="s">
        <v>880</v>
      </c>
      <c r="F671" t="s">
        <v>33</v>
      </c>
      <c r="G671" s="2">
        <v>2</v>
      </c>
      <c r="H671" s="2">
        <v>85000</v>
      </c>
      <c r="I671">
        <v>0.01</v>
      </c>
      <c r="J671" s="2">
        <v>168300</v>
      </c>
    </row>
    <row r="672" spans="1:10" x14ac:dyDescent="0.25">
      <c r="A672" t="s">
        <v>759</v>
      </c>
      <c r="B672" s="1">
        <v>45349</v>
      </c>
      <c r="C672" t="s">
        <v>749</v>
      </c>
      <c r="D672" t="s">
        <v>75</v>
      </c>
      <c r="E672" t="s">
        <v>880</v>
      </c>
      <c r="F672" t="s">
        <v>54</v>
      </c>
      <c r="G672" s="2">
        <v>3</v>
      </c>
      <c r="H672" s="2">
        <v>120000</v>
      </c>
      <c r="I672">
        <v>0.02</v>
      </c>
      <c r="J672" s="2">
        <v>352800</v>
      </c>
    </row>
    <row r="673" spans="1:10" x14ac:dyDescent="0.25">
      <c r="A673" t="s">
        <v>760</v>
      </c>
      <c r="B673" s="1">
        <v>45337</v>
      </c>
      <c r="C673" t="s">
        <v>749</v>
      </c>
      <c r="D673" t="s">
        <v>35</v>
      </c>
      <c r="E673" t="s">
        <v>879</v>
      </c>
      <c r="F673" t="s">
        <v>54</v>
      </c>
      <c r="G673" s="2">
        <v>3</v>
      </c>
      <c r="H673" s="2">
        <v>45000</v>
      </c>
      <c r="I673">
        <v>0.12</v>
      </c>
      <c r="J673" s="2">
        <v>118800</v>
      </c>
    </row>
    <row r="674" spans="1:10" x14ac:dyDescent="0.25">
      <c r="A674" t="s">
        <v>761</v>
      </c>
      <c r="B674" s="1">
        <v>45339</v>
      </c>
      <c r="C674" t="s">
        <v>749</v>
      </c>
      <c r="D674" t="s">
        <v>75</v>
      </c>
      <c r="E674" t="s">
        <v>877</v>
      </c>
      <c r="F674" t="s">
        <v>28</v>
      </c>
      <c r="G674" s="2">
        <v>2</v>
      </c>
      <c r="H674" s="2">
        <v>120000</v>
      </c>
      <c r="I674">
        <v>7.0000000000000007E-2</v>
      </c>
      <c r="J674" s="2">
        <v>223200</v>
      </c>
    </row>
    <row r="675" spans="1:10" x14ac:dyDescent="0.25">
      <c r="A675" t="s">
        <v>762</v>
      </c>
      <c r="B675" s="1">
        <v>45355</v>
      </c>
      <c r="C675" t="s">
        <v>749</v>
      </c>
      <c r="D675" t="s">
        <v>24</v>
      </c>
      <c r="E675" t="s">
        <v>879</v>
      </c>
      <c r="F675" t="s">
        <v>28</v>
      </c>
      <c r="G675" s="2">
        <v>4</v>
      </c>
      <c r="H675" s="2">
        <v>75000</v>
      </c>
      <c r="I675">
        <v>0.02</v>
      </c>
      <c r="J675" s="2">
        <v>294000</v>
      </c>
    </row>
    <row r="676" spans="1:10" x14ac:dyDescent="0.25">
      <c r="A676" t="s">
        <v>763</v>
      </c>
      <c r="B676" s="1">
        <v>45373</v>
      </c>
      <c r="C676" t="s">
        <v>749</v>
      </c>
      <c r="D676" t="s">
        <v>30</v>
      </c>
      <c r="E676" t="s">
        <v>879</v>
      </c>
      <c r="F676" t="s">
        <v>28</v>
      </c>
      <c r="G676" s="2">
        <v>5</v>
      </c>
      <c r="H676" s="2">
        <v>60000</v>
      </c>
      <c r="I676">
        <v>0.12</v>
      </c>
      <c r="J676" s="2">
        <v>264000</v>
      </c>
    </row>
    <row r="677" spans="1:10" x14ac:dyDescent="0.25">
      <c r="A677" t="s">
        <v>764</v>
      </c>
      <c r="B677" s="1">
        <v>45402</v>
      </c>
      <c r="C677" t="s">
        <v>749</v>
      </c>
      <c r="D677" t="s">
        <v>75</v>
      </c>
      <c r="E677" t="s">
        <v>879</v>
      </c>
      <c r="F677" t="s">
        <v>54</v>
      </c>
      <c r="G677" s="2">
        <v>2</v>
      </c>
      <c r="H677" s="2">
        <v>120000</v>
      </c>
      <c r="I677">
        <v>0.02</v>
      </c>
      <c r="J677" s="2">
        <v>235200</v>
      </c>
    </row>
    <row r="678" spans="1:10" x14ac:dyDescent="0.25">
      <c r="A678" t="s">
        <v>765</v>
      </c>
      <c r="B678" s="1">
        <v>45387</v>
      </c>
      <c r="C678" t="s">
        <v>749</v>
      </c>
      <c r="D678" t="s">
        <v>51</v>
      </c>
      <c r="E678" t="s">
        <v>879</v>
      </c>
      <c r="F678" t="s">
        <v>28</v>
      </c>
      <c r="G678" s="2">
        <v>5</v>
      </c>
      <c r="H678" s="2">
        <v>150000</v>
      </c>
      <c r="I678">
        <v>0.06</v>
      </c>
      <c r="J678" s="2">
        <v>705000</v>
      </c>
    </row>
    <row r="679" spans="1:10" x14ac:dyDescent="0.25">
      <c r="A679" t="s">
        <v>766</v>
      </c>
      <c r="B679" s="1">
        <v>45408</v>
      </c>
      <c r="C679" t="s">
        <v>749</v>
      </c>
      <c r="D679" t="s">
        <v>35</v>
      </c>
      <c r="E679" t="s">
        <v>877</v>
      </c>
      <c r="F679" t="s">
        <v>37</v>
      </c>
      <c r="G679" s="2">
        <v>5</v>
      </c>
      <c r="H679" s="2">
        <v>45000</v>
      </c>
      <c r="I679">
        <v>0.01</v>
      </c>
      <c r="J679" s="2">
        <v>222800</v>
      </c>
    </row>
    <row r="680" spans="1:10" x14ac:dyDescent="0.25">
      <c r="A680" t="s">
        <v>767</v>
      </c>
      <c r="B680" s="1">
        <v>45396</v>
      </c>
      <c r="C680" t="s">
        <v>749</v>
      </c>
      <c r="D680" t="s">
        <v>60</v>
      </c>
      <c r="E680" t="s">
        <v>880</v>
      </c>
      <c r="F680" t="s">
        <v>33</v>
      </c>
      <c r="G680" s="2">
        <v>3</v>
      </c>
      <c r="H680" s="2">
        <v>95000</v>
      </c>
      <c r="I680">
        <v>0.01</v>
      </c>
      <c r="J680" s="2">
        <v>282200</v>
      </c>
    </row>
    <row r="681" spans="1:10" x14ac:dyDescent="0.25">
      <c r="A681" t="s">
        <v>768</v>
      </c>
      <c r="B681" s="1">
        <v>45402</v>
      </c>
      <c r="C681" t="s">
        <v>749</v>
      </c>
      <c r="D681" t="s">
        <v>51</v>
      </c>
      <c r="E681" t="s">
        <v>877</v>
      </c>
      <c r="F681" t="s">
        <v>37</v>
      </c>
      <c r="G681" s="2">
        <v>2</v>
      </c>
      <c r="H681" s="2">
        <v>150000</v>
      </c>
      <c r="I681">
        <v>0.03</v>
      </c>
      <c r="J681" s="2">
        <v>291000</v>
      </c>
    </row>
    <row r="682" spans="1:10" x14ac:dyDescent="0.25">
      <c r="A682" t="s">
        <v>769</v>
      </c>
      <c r="B682" s="1">
        <v>45417</v>
      </c>
      <c r="C682" t="s">
        <v>749</v>
      </c>
      <c r="D682" t="s">
        <v>47</v>
      </c>
      <c r="E682" t="s">
        <v>879</v>
      </c>
      <c r="F682" t="s">
        <v>54</v>
      </c>
      <c r="G682" s="2">
        <v>2</v>
      </c>
      <c r="H682" s="2">
        <v>200000</v>
      </c>
      <c r="I682">
        <v>0.02</v>
      </c>
      <c r="J682" s="2">
        <v>392000</v>
      </c>
    </row>
    <row r="683" spans="1:10" x14ac:dyDescent="0.25">
      <c r="A683" t="s">
        <v>770</v>
      </c>
      <c r="B683" s="1">
        <v>45413</v>
      </c>
      <c r="C683" t="s">
        <v>749</v>
      </c>
      <c r="D683" t="s">
        <v>47</v>
      </c>
      <c r="E683" t="s">
        <v>877</v>
      </c>
      <c r="F683" t="s">
        <v>37</v>
      </c>
      <c r="G683" s="2">
        <v>5</v>
      </c>
      <c r="H683" s="2">
        <v>200000</v>
      </c>
      <c r="I683">
        <v>0.01</v>
      </c>
      <c r="J683" s="2">
        <v>990000</v>
      </c>
    </row>
    <row r="684" spans="1:10" x14ac:dyDescent="0.25">
      <c r="A684" t="s">
        <v>771</v>
      </c>
      <c r="B684" s="1">
        <v>45416</v>
      </c>
      <c r="C684" t="s">
        <v>749</v>
      </c>
      <c r="D684" t="s">
        <v>35</v>
      </c>
      <c r="E684" t="s">
        <v>877</v>
      </c>
      <c r="F684" t="s">
        <v>28</v>
      </c>
      <c r="G684" s="2">
        <v>3</v>
      </c>
      <c r="H684" s="2">
        <v>45000</v>
      </c>
      <c r="I684">
        <v>0.02</v>
      </c>
      <c r="J684" s="2">
        <v>132300</v>
      </c>
    </row>
    <row r="685" spans="1:10" x14ac:dyDescent="0.25">
      <c r="A685" t="s">
        <v>772</v>
      </c>
      <c r="B685" s="1">
        <v>45433</v>
      </c>
      <c r="C685" t="s">
        <v>749</v>
      </c>
      <c r="D685" t="s">
        <v>24</v>
      </c>
      <c r="E685" t="s">
        <v>877</v>
      </c>
      <c r="F685" t="s">
        <v>54</v>
      </c>
      <c r="G685" s="2">
        <v>2</v>
      </c>
      <c r="H685" s="2">
        <v>75000</v>
      </c>
      <c r="I685">
        <v>0.12</v>
      </c>
      <c r="J685" s="2">
        <v>132000</v>
      </c>
    </row>
    <row r="686" spans="1:10" x14ac:dyDescent="0.25">
      <c r="A686" t="s">
        <v>773</v>
      </c>
      <c r="B686" s="1">
        <v>45430</v>
      </c>
      <c r="C686" t="s">
        <v>749</v>
      </c>
      <c r="D686" t="s">
        <v>60</v>
      </c>
      <c r="E686" t="s">
        <v>879</v>
      </c>
      <c r="F686" t="s">
        <v>33</v>
      </c>
      <c r="G686" s="2">
        <v>5</v>
      </c>
      <c r="H686" s="2">
        <v>95000</v>
      </c>
      <c r="I686">
        <v>0.09</v>
      </c>
      <c r="J686" s="2">
        <v>432200</v>
      </c>
    </row>
    <row r="687" spans="1:10" x14ac:dyDescent="0.25">
      <c r="A687" t="s">
        <v>774</v>
      </c>
      <c r="B687" s="1">
        <v>45450</v>
      </c>
      <c r="C687" t="s">
        <v>749</v>
      </c>
      <c r="D687" t="s">
        <v>35</v>
      </c>
      <c r="E687" t="s">
        <v>880</v>
      </c>
      <c r="F687" t="s">
        <v>28</v>
      </c>
      <c r="G687" s="2">
        <v>3</v>
      </c>
      <c r="H687" s="2">
        <v>45000</v>
      </c>
      <c r="I687">
        <v>0.04</v>
      </c>
      <c r="J687" s="2">
        <v>129600</v>
      </c>
    </row>
    <row r="688" spans="1:10" x14ac:dyDescent="0.25">
      <c r="A688" t="s">
        <v>775</v>
      </c>
      <c r="B688" s="1">
        <v>45469</v>
      </c>
      <c r="C688" t="s">
        <v>749</v>
      </c>
      <c r="D688" t="s">
        <v>30</v>
      </c>
      <c r="E688" t="s">
        <v>877</v>
      </c>
      <c r="F688" t="s">
        <v>37</v>
      </c>
      <c r="G688" s="2">
        <v>1</v>
      </c>
      <c r="H688" s="2">
        <v>60000</v>
      </c>
      <c r="I688">
        <v>0</v>
      </c>
      <c r="J688" s="2">
        <v>60000</v>
      </c>
    </row>
    <row r="689" spans="1:10" x14ac:dyDescent="0.25">
      <c r="A689" t="s">
        <v>776</v>
      </c>
      <c r="B689" s="1">
        <v>45453</v>
      </c>
      <c r="C689" t="s">
        <v>749</v>
      </c>
      <c r="D689" t="s">
        <v>40</v>
      </c>
      <c r="E689" t="s">
        <v>877</v>
      </c>
      <c r="F689" t="s">
        <v>37</v>
      </c>
      <c r="G689" s="2">
        <v>5</v>
      </c>
      <c r="H689" s="2">
        <v>85000</v>
      </c>
      <c r="I689">
        <v>0.11</v>
      </c>
      <c r="J689" s="2">
        <v>378200</v>
      </c>
    </row>
    <row r="690" spans="1:10" x14ac:dyDescent="0.25">
      <c r="A690" t="s">
        <v>777</v>
      </c>
      <c r="B690" s="1">
        <v>45466</v>
      </c>
      <c r="C690" t="s">
        <v>749</v>
      </c>
      <c r="D690" t="s">
        <v>30</v>
      </c>
      <c r="E690" t="s">
        <v>877</v>
      </c>
      <c r="F690" t="s">
        <v>28</v>
      </c>
      <c r="G690" s="2">
        <v>5</v>
      </c>
      <c r="H690" s="2">
        <v>60000</v>
      </c>
      <c r="I690">
        <v>0.11</v>
      </c>
      <c r="J690" s="2">
        <v>267000</v>
      </c>
    </row>
    <row r="691" spans="1:10" x14ac:dyDescent="0.25">
      <c r="A691" t="s">
        <v>778</v>
      </c>
      <c r="B691" s="1">
        <v>45456</v>
      </c>
      <c r="C691" t="s">
        <v>749</v>
      </c>
      <c r="D691" t="s">
        <v>47</v>
      </c>
      <c r="E691" t="s">
        <v>877</v>
      </c>
      <c r="F691" t="s">
        <v>37</v>
      </c>
      <c r="G691" s="2">
        <v>1</v>
      </c>
      <c r="H691" s="2">
        <v>200000</v>
      </c>
      <c r="I691">
        <v>0.03</v>
      </c>
      <c r="J691" s="2">
        <v>194000</v>
      </c>
    </row>
    <row r="692" spans="1:10" x14ac:dyDescent="0.25">
      <c r="A692" t="s">
        <v>779</v>
      </c>
      <c r="B692" s="1">
        <v>45458</v>
      </c>
      <c r="C692" t="s">
        <v>749</v>
      </c>
      <c r="D692" t="s">
        <v>60</v>
      </c>
      <c r="E692" t="s">
        <v>879</v>
      </c>
      <c r="F692" t="s">
        <v>28</v>
      </c>
      <c r="G692" s="2">
        <v>3</v>
      </c>
      <c r="H692" s="2">
        <v>95000</v>
      </c>
      <c r="I692">
        <v>0.06</v>
      </c>
      <c r="J692" s="2">
        <v>267900</v>
      </c>
    </row>
    <row r="693" spans="1:10" x14ac:dyDescent="0.25">
      <c r="A693" t="s">
        <v>780</v>
      </c>
      <c r="B693" s="1">
        <v>45476</v>
      </c>
      <c r="C693" t="s">
        <v>749</v>
      </c>
      <c r="D693" t="s">
        <v>24</v>
      </c>
      <c r="E693" t="s">
        <v>880</v>
      </c>
      <c r="F693" t="s">
        <v>37</v>
      </c>
      <c r="G693" s="2">
        <v>3</v>
      </c>
      <c r="H693" s="2">
        <v>75000</v>
      </c>
      <c r="I693">
        <v>0.09</v>
      </c>
      <c r="J693" s="2">
        <v>204800</v>
      </c>
    </row>
    <row r="694" spans="1:10" x14ac:dyDescent="0.25">
      <c r="A694" t="s">
        <v>781</v>
      </c>
      <c r="B694" s="1">
        <v>45494</v>
      </c>
      <c r="C694" t="s">
        <v>749</v>
      </c>
      <c r="D694" t="s">
        <v>47</v>
      </c>
      <c r="E694" t="s">
        <v>878</v>
      </c>
      <c r="F694" t="s">
        <v>37</v>
      </c>
      <c r="G694" s="2">
        <v>2</v>
      </c>
      <c r="H694" s="2">
        <v>200000</v>
      </c>
      <c r="I694">
        <v>0.06</v>
      </c>
      <c r="J694" s="2">
        <v>376000</v>
      </c>
    </row>
    <row r="695" spans="1:10" x14ac:dyDescent="0.25">
      <c r="A695" t="s">
        <v>782</v>
      </c>
      <c r="B695" s="1">
        <v>45474</v>
      </c>
      <c r="C695" t="s">
        <v>749</v>
      </c>
      <c r="D695" t="s">
        <v>35</v>
      </c>
      <c r="E695" t="s">
        <v>879</v>
      </c>
      <c r="F695" t="s">
        <v>37</v>
      </c>
      <c r="G695" s="2">
        <v>2</v>
      </c>
      <c r="H695" s="2">
        <v>45000</v>
      </c>
      <c r="I695">
        <v>0.08</v>
      </c>
      <c r="J695" s="2">
        <v>82800</v>
      </c>
    </row>
    <row r="696" spans="1:10" x14ac:dyDescent="0.25">
      <c r="A696" t="s">
        <v>783</v>
      </c>
      <c r="B696" s="1">
        <v>45501</v>
      </c>
      <c r="C696" t="s">
        <v>749</v>
      </c>
      <c r="D696" t="s">
        <v>35</v>
      </c>
      <c r="E696" t="s">
        <v>877</v>
      </c>
      <c r="F696" t="s">
        <v>28</v>
      </c>
      <c r="G696" s="2">
        <v>1</v>
      </c>
      <c r="H696" s="2">
        <v>45000</v>
      </c>
      <c r="I696">
        <v>0.09</v>
      </c>
      <c r="J696" s="2">
        <v>41000</v>
      </c>
    </row>
    <row r="697" spans="1:10" x14ac:dyDescent="0.25">
      <c r="A697" t="s">
        <v>784</v>
      </c>
      <c r="B697" s="1">
        <v>45512</v>
      </c>
      <c r="C697" t="s">
        <v>749</v>
      </c>
      <c r="D697" t="s">
        <v>35</v>
      </c>
      <c r="E697" t="s">
        <v>878</v>
      </c>
      <c r="F697" t="s">
        <v>37</v>
      </c>
      <c r="G697" s="2">
        <v>5</v>
      </c>
      <c r="H697" s="2">
        <v>45000</v>
      </c>
      <c r="I697">
        <v>0.06</v>
      </c>
      <c r="J697" s="2">
        <v>211500</v>
      </c>
    </row>
    <row r="698" spans="1:10" x14ac:dyDescent="0.25">
      <c r="A698" t="s">
        <v>785</v>
      </c>
      <c r="B698" s="1">
        <v>45521</v>
      </c>
      <c r="C698" t="s">
        <v>749</v>
      </c>
      <c r="D698" t="s">
        <v>60</v>
      </c>
      <c r="E698" t="s">
        <v>879</v>
      </c>
      <c r="F698" t="s">
        <v>37</v>
      </c>
      <c r="G698" s="2">
        <v>4</v>
      </c>
      <c r="H698" s="2">
        <v>95000</v>
      </c>
      <c r="I698">
        <v>7.0000000000000007E-2</v>
      </c>
      <c r="J698" s="2">
        <v>353400</v>
      </c>
    </row>
    <row r="699" spans="1:10" x14ac:dyDescent="0.25">
      <c r="A699" t="s">
        <v>786</v>
      </c>
      <c r="B699" s="1">
        <v>45510</v>
      </c>
      <c r="C699" t="s">
        <v>749</v>
      </c>
      <c r="D699" t="s">
        <v>47</v>
      </c>
      <c r="E699" t="s">
        <v>879</v>
      </c>
      <c r="F699" t="s">
        <v>28</v>
      </c>
      <c r="G699" s="2">
        <v>3</v>
      </c>
      <c r="H699" s="2">
        <v>200000</v>
      </c>
      <c r="I699">
        <v>0.12</v>
      </c>
      <c r="J699" s="2">
        <v>528000</v>
      </c>
    </row>
    <row r="700" spans="1:10" x14ac:dyDescent="0.25">
      <c r="A700" t="s">
        <v>787</v>
      </c>
      <c r="B700" s="1">
        <v>45520</v>
      </c>
      <c r="C700" t="s">
        <v>749</v>
      </c>
      <c r="D700" t="s">
        <v>30</v>
      </c>
      <c r="E700" t="s">
        <v>878</v>
      </c>
      <c r="F700" t="s">
        <v>28</v>
      </c>
      <c r="G700" s="2">
        <v>4</v>
      </c>
      <c r="H700" s="2">
        <v>60000</v>
      </c>
      <c r="I700">
        <v>0.1</v>
      </c>
      <c r="J700" s="2">
        <v>216000</v>
      </c>
    </row>
    <row r="701" spans="1:10" x14ac:dyDescent="0.25">
      <c r="A701" t="s">
        <v>788</v>
      </c>
      <c r="B701" s="1">
        <v>45515</v>
      </c>
      <c r="C701" t="s">
        <v>749</v>
      </c>
      <c r="D701" t="s">
        <v>40</v>
      </c>
      <c r="E701" t="s">
        <v>880</v>
      </c>
      <c r="F701" t="s">
        <v>37</v>
      </c>
      <c r="G701" s="2">
        <v>2</v>
      </c>
      <c r="H701" s="2">
        <v>85000</v>
      </c>
      <c r="I701">
        <v>0.05</v>
      </c>
      <c r="J701" s="2">
        <v>161500</v>
      </c>
    </row>
    <row r="702" spans="1:10" x14ac:dyDescent="0.25">
      <c r="A702" t="s">
        <v>789</v>
      </c>
      <c r="B702" s="1">
        <v>45508</v>
      </c>
      <c r="C702" t="s">
        <v>749</v>
      </c>
      <c r="D702" t="s">
        <v>60</v>
      </c>
      <c r="E702" t="s">
        <v>877</v>
      </c>
      <c r="F702" t="s">
        <v>28</v>
      </c>
      <c r="G702" s="2">
        <v>2</v>
      </c>
      <c r="H702" s="2">
        <v>95000</v>
      </c>
      <c r="I702">
        <v>0.01</v>
      </c>
      <c r="J702" s="2">
        <v>188100</v>
      </c>
    </row>
    <row r="703" spans="1:10" x14ac:dyDescent="0.25">
      <c r="A703" t="s">
        <v>790</v>
      </c>
      <c r="B703" s="1">
        <v>45514</v>
      </c>
      <c r="C703" t="s">
        <v>749</v>
      </c>
      <c r="D703" t="s">
        <v>35</v>
      </c>
      <c r="E703" t="s">
        <v>877</v>
      </c>
      <c r="F703" t="s">
        <v>37</v>
      </c>
      <c r="G703" s="2">
        <v>2</v>
      </c>
      <c r="H703" s="2">
        <v>45000</v>
      </c>
      <c r="I703">
        <v>0.05</v>
      </c>
      <c r="J703" s="2">
        <v>85500</v>
      </c>
    </row>
    <row r="704" spans="1:10" x14ac:dyDescent="0.25">
      <c r="A704" t="s">
        <v>791</v>
      </c>
      <c r="B704" s="1">
        <v>45540</v>
      </c>
      <c r="C704" t="s">
        <v>749</v>
      </c>
      <c r="D704" t="s">
        <v>30</v>
      </c>
      <c r="E704" t="s">
        <v>879</v>
      </c>
      <c r="F704" t="s">
        <v>28</v>
      </c>
      <c r="G704" s="2">
        <v>3</v>
      </c>
      <c r="H704" s="2">
        <v>60000</v>
      </c>
      <c r="I704">
        <v>0.03</v>
      </c>
      <c r="J704" s="2">
        <v>174600</v>
      </c>
    </row>
    <row r="705" spans="1:10" x14ac:dyDescent="0.25">
      <c r="A705" t="s">
        <v>792</v>
      </c>
      <c r="B705" s="1">
        <v>45538</v>
      </c>
      <c r="C705" t="s">
        <v>749</v>
      </c>
      <c r="D705" t="s">
        <v>40</v>
      </c>
      <c r="E705" t="s">
        <v>877</v>
      </c>
      <c r="F705" t="s">
        <v>37</v>
      </c>
      <c r="G705" s="2">
        <v>5</v>
      </c>
      <c r="H705" s="2">
        <v>85000</v>
      </c>
      <c r="I705">
        <v>0.04</v>
      </c>
      <c r="J705" s="2">
        <v>408000</v>
      </c>
    </row>
    <row r="706" spans="1:10" x14ac:dyDescent="0.25">
      <c r="A706" t="s">
        <v>793</v>
      </c>
      <c r="B706" s="1">
        <v>45549</v>
      </c>
      <c r="C706" t="s">
        <v>749</v>
      </c>
      <c r="D706" t="s">
        <v>40</v>
      </c>
      <c r="E706" t="s">
        <v>878</v>
      </c>
      <c r="F706" t="s">
        <v>37</v>
      </c>
      <c r="G706" s="2">
        <v>3</v>
      </c>
      <c r="H706" s="2">
        <v>85000</v>
      </c>
      <c r="I706">
        <v>0.06</v>
      </c>
      <c r="J706" s="2">
        <v>239700</v>
      </c>
    </row>
    <row r="707" spans="1:10" x14ac:dyDescent="0.25">
      <c r="A707" t="s">
        <v>794</v>
      </c>
      <c r="B707" s="1">
        <v>45554</v>
      </c>
      <c r="C707" t="s">
        <v>749</v>
      </c>
      <c r="D707" t="s">
        <v>40</v>
      </c>
      <c r="E707" t="s">
        <v>877</v>
      </c>
      <c r="F707" t="s">
        <v>28</v>
      </c>
      <c r="G707" s="2">
        <v>2</v>
      </c>
      <c r="H707" s="2">
        <v>85000</v>
      </c>
      <c r="I707">
        <v>0.08</v>
      </c>
      <c r="J707" s="2">
        <v>156400</v>
      </c>
    </row>
    <row r="708" spans="1:10" x14ac:dyDescent="0.25">
      <c r="A708" t="s">
        <v>795</v>
      </c>
      <c r="B708" s="1">
        <v>45550</v>
      </c>
      <c r="C708" t="s">
        <v>749</v>
      </c>
      <c r="D708" t="s">
        <v>60</v>
      </c>
      <c r="E708" t="s">
        <v>879</v>
      </c>
      <c r="F708" t="s">
        <v>28</v>
      </c>
      <c r="G708" s="2">
        <v>3</v>
      </c>
      <c r="H708" s="2">
        <v>95000</v>
      </c>
      <c r="I708">
        <v>0.05</v>
      </c>
      <c r="J708" s="2">
        <v>270800</v>
      </c>
    </row>
    <row r="709" spans="1:10" x14ac:dyDescent="0.25">
      <c r="A709" t="s">
        <v>796</v>
      </c>
      <c r="B709" s="1">
        <v>45572</v>
      </c>
      <c r="C709" t="s">
        <v>749</v>
      </c>
      <c r="D709" t="s">
        <v>24</v>
      </c>
      <c r="E709" t="s">
        <v>880</v>
      </c>
      <c r="F709" t="s">
        <v>54</v>
      </c>
      <c r="G709" s="2">
        <v>1</v>
      </c>
      <c r="H709" s="2">
        <v>75000</v>
      </c>
      <c r="I709">
        <v>0.11</v>
      </c>
      <c r="J709" s="2">
        <v>66800</v>
      </c>
    </row>
    <row r="710" spans="1:10" x14ac:dyDescent="0.25">
      <c r="A710" t="s">
        <v>797</v>
      </c>
      <c r="B710" s="1">
        <v>45572</v>
      </c>
      <c r="C710" t="s">
        <v>749</v>
      </c>
      <c r="D710" t="s">
        <v>60</v>
      </c>
      <c r="E710" t="s">
        <v>880</v>
      </c>
      <c r="F710" t="s">
        <v>28</v>
      </c>
      <c r="G710" s="2">
        <v>3</v>
      </c>
      <c r="H710" s="2">
        <v>95000</v>
      </c>
      <c r="I710">
        <v>0.02</v>
      </c>
      <c r="J710" s="2">
        <v>279300</v>
      </c>
    </row>
    <row r="711" spans="1:10" x14ac:dyDescent="0.25">
      <c r="A711" t="s">
        <v>798</v>
      </c>
      <c r="B711" s="1">
        <v>45607</v>
      </c>
      <c r="C711" t="s">
        <v>749</v>
      </c>
      <c r="D711" t="s">
        <v>47</v>
      </c>
      <c r="E711" t="s">
        <v>879</v>
      </c>
      <c r="F711" t="s">
        <v>28</v>
      </c>
      <c r="G711" s="2">
        <v>4</v>
      </c>
      <c r="H711" s="2">
        <v>200000</v>
      </c>
      <c r="I711">
        <v>0.11</v>
      </c>
      <c r="J711" s="2">
        <v>712000</v>
      </c>
    </row>
    <row r="712" spans="1:10" x14ac:dyDescent="0.25">
      <c r="A712" t="s">
        <v>799</v>
      </c>
      <c r="B712" s="1">
        <v>45610</v>
      </c>
      <c r="C712" t="s">
        <v>749</v>
      </c>
      <c r="D712" t="s">
        <v>75</v>
      </c>
      <c r="E712" t="s">
        <v>878</v>
      </c>
      <c r="F712" t="s">
        <v>33</v>
      </c>
      <c r="G712" s="2">
        <v>1</v>
      </c>
      <c r="H712" s="2">
        <v>120000</v>
      </c>
      <c r="I712">
        <v>0.1</v>
      </c>
      <c r="J712" s="2">
        <v>108000</v>
      </c>
    </row>
    <row r="713" spans="1:10" x14ac:dyDescent="0.25">
      <c r="A713" t="s">
        <v>800</v>
      </c>
      <c r="B713" s="1">
        <v>45607</v>
      </c>
      <c r="C713" t="s">
        <v>749</v>
      </c>
      <c r="D713" t="s">
        <v>47</v>
      </c>
      <c r="E713" t="s">
        <v>880</v>
      </c>
      <c r="F713" t="s">
        <v>37</v>
      </c>
      <c r="G713" s="2">
        <v>3</v>
      </c>
      <c r="H713" s="2">
        <v>200000</v>
      </c>
      <c r="I713">
        <v>0.05</v>
      </c>
      <c r="J713" s="2">
        <v>570000</v>
      </c>
    </row>
    <row r="714" spans="1:10" x14ac:dyDescent="0.25">
      <c r="A714" t="s">
        <v>801</v>
      </c>
      <c r="B714" s="1">
        <v>45619</v>
      </c>
      <c r="C714" t="s">
        <v>749</v>
      </c>
      <c r="D714" t="s">
        <v>75</v>
      </c>
      <c r="E714" t="s">
        <v>878</v>
      </c>
      <c r="F714" t="s">
        <v>33</v>
      </c>
      <c r="G714" s="2">
        <v>2</v>
      </c>
      <c r="H714" s="2">
        <v>120000</v>
      </c>
      <c r="I714">
        <v>0.08</v>
      </c>
      <c r="J714" s="2">
        <v>220800</v>
      </c>
    </row>
    <row r="715" spans="1:10" x14ac:dyDescent="0.25">
      <c r="A715" t="s">
        <v>802</v>
      </c>
      <c r="B715" s="1">
        <v>45611</v>
      </c>
      <c r="C715" t="s">
        <v>749</v>
      </c>
      <c r="D715" t="s">
        <v>47</v>
      </c>
      <c r="E715" t="s">
        <v>878</v>
      </c>
      <c r="F715" t="s">
        <v>37</v>
      </c>
      <c r="G715" s="2">
        <v>5</v>
      </c>
      <c r="H715" s="2">
        <v>200000</v>
      </c>
      <c r="I715">
        <v>0.1</v>
      </c>
      <c r="J715" s="2">
        <v>900000</v>
      </c>
    </row>
    <row r="716" spans="1:10" x14ac:dyDescent="0.25">
      <c r="A716" t="s">
        <v>803</v>
      </c>
      <c r="B716" s="1">
        <v>45622</v>
      </c>
      <c r="C716" t="s">
        <v>749</v>
      </c>
      <c r="D716" t="s">
        <v>51</v>
      </c>
      <c r="E716" t="s">
        <v>878</v>
      </c>
      <c r="F716" t="s">
        <v>37</v>
      </c>
      <c r="G716" s="2">
        <v>1</v>
      </c>
      <c r="H716" s="2">
        <v>150000</v>
      </c>
      <c r="I716">
        <v>0.09</v>
      </c>
      <c r="J716" s="2">
        <v>136500</v>
      </c>
    </row>
    <row r="717" spans="1:10" x14ac:dyDescent="0.25">
      <c r="A717" t="s">
        <v>804</v>
      </c>
      <c r="B717" s="1">
        <v>45615</v>
      </c>
      <c r="C717" t="s">
        <v>749</v>
      </c>
      <c r="D717" t="s">
        <v>75</v>
      </c>
      <c r="E717" t="s">
        <v>878</v>
      </c>
      <c r="F717" t="s">
        <v>37</v>
      </c>
      <c r="G717" s="2">
        <v>5</v>
      </c>
      <c r="H717" s="2">
        <v>120000</v>
      </c>
      <c r="I717">
        <v>7.0000000000000007E-2</v>
      </c>
      <c r="J717" s="2">
        <v>558000</v>
      </c>
    </row>
    <row r="718" spans="1:10" x14ac:dyDescent="0.25">
      <c r="A718" t="s">
        <v>805</v>
      </c>
      <c r="B718" s="1">
        <v>45630</v>
      </c>
      <c r="C718" t="s">
        <v>749</v>
      </c>
      <c r="D718" t="s">
        <v>24</v>
      </c>
      <c r="E718" t="s">
        <v>880</v>
      </c>
      <c r="F718" t="s">
        <v>37</v>
      </c>
      <c r="G718" s="2">
        <v>5</v>
      </c>
      <c r="H718" s="2">
        <v>75000</v>
      </c>
      <c r="I718">
        <v>0.11</v>
      </c>
      <c r="J718" s="2">
        <v>333800</v>
      </c>
    </row>
    <row r="719" spans="1:10" x14ac:dyDescent="0.25">
      <c r="A719" t="s">
        <v>806</v>
      </c>
      <c r="B719" s="1">
        <v>45629</v>
      </c>
      <c r="C719" t="s">
        <v>749</v>
      </c>
      <c r="D719" t="s">
        <v>60</v>
      </c>
      <c r="E719" t="s">
        <v>879</v>
      </c>
      <c r="F719" t="s">
        <v>37</v>
      </c>
      <c r="G719" s="2">
        <v>1</v>
      </c>
      <c r="H719" s="2">
        <v>95000</v>
      </c>
      <c r="I719">
        <v>0.06</v>
      </c>
      <c r="J719" s="2">
        <v>89300</v>
      </c>
    </row>
    <row r="720" spans="1:10" x14ac:dyDescent="0.25">
      <c r="A720" t="s">
        <v>807</v>
      </c>
      <c r="B720" s="1">
        <v>45638</v>
      </c>
      <c r="C720" t="s">
        <v>749</v>
      </c>
      <c r="D720" t="s">
        <v>24</v>
      </c>
      <c r="E720" t="s">
        <v>877</v>
      </c>
      <c r="F720" t="s">
        <v>37</v>
      </c>
      <c r="G720" s="2">
        <v>5</v>
      </c>
      <c r="H720" s="2">
        <v>75000</v>
      </c>
      <c r="I720">
        <v>0.01</v>
      </c>
      <c r="J720" s="2">
        <v>371200</v>
      </c>
    </row>
    <row r="721" spans="1:10" x14ac:dyDescent="0.25">
      <c r="A721" t="s">
        <v>808</v>
      </c>
      <c r="B721" s="1">
        <v>45637</v>
      </c>
      <c r="C721" t="s">
        <v>749</v>
      </c>
      <c r="D721" t="s">
        <v>75</v>
      </c>
      <c r="E721" t="s">
        <v>879</v>
      </c>
      <c r="F721" t="s">
        <v>28</v>
      </c>
      <c r="G721" s="2">
        <v>2</v>
      </c>
      <c r="H721" s="2">
        <v>120000</v>
      </c>
      <c r="I721">
        <v>0.04</v>
      </c>
      <c r="J721" s="2">
        <v>230400</v>
      </c>
    </row>
    <row r="722" spans="1:10" x14ac:dyDescent="0.25">
      <c r="A722" t="s">
        <v>809</v>
      </c>
      <c r="B722" s="1">
        <v>45632</v>
      </c>
      <c r="C722" t="s">
        <v>749</v>
      </c>
      <c r="D722" t="s">
        <v>51</v>
      </c>
      <c r="E722" t="s">
        <v>879</v>
      </c>
      <c r="F722" t="s">
        <v>37</v>
      </c>
      <c r="G722" s="2">
        <v>5</v>
      </c>
      <c r="H722" s="2">
        <v>150000</v>
      </c>
      <c r="I722">
        <v>0</v>
      </c>
      <c r="J722" s="2">
        <v>750000</v>
      </c>
    </row>
    <row r="723" spans="1:10" x14ac:dyDescent="0.25">
      <c r="A723" t="s">
        <v>810</v>
      </c>
      <c r="B723" s="1">
        <v>45654</v>
      </c>
      <c r="C723" t="s">
        <v>749</v>
      </c>
      <c r="D723" t="s">
        <v>35</v>
      </c>
      <c r="E723" t="s">
        <v>880</v>
      </c>
      <c r="F723" t="s">
        <v>33</v>
      </c>
      <c r="G723" s="2">
        <v>1</v>
      </c>
      <c r="H723" s="2">
        <v>45000</v>
      </c>
      <c r="I723">
        <v>0.12</v>
      </c>
      <c r="J723" s="2">
        <v>39600</v>
      </c>
    </row>
    <row r="724" spans="1:10" x14ac:dyDescent="0.25">
      <c r="A724" t="s">
        <v>811</v>
      </c>
      <c r="B724" s="1">
        <v>45645</v>
      </c>
      <c r="C724" t="s">
        <v>749</v>
      </c>
      <c r="D724" t="s">
        <v>30</v>
      </c>
      <c r="E724" t="s">
        <v>878</v>
      </c>
      <c r="F724" t="s">
        <v>33</v>
      </c>
      <c r="G724" s="2">
        <v>2</v>
      </c>
      <c r="H724" s="2">
        <v>60000</v>
      </c>
      <c r="I724">
        <v>7.0000000000000007E-2</v>
      </c>
      <c r="J724" s="2">
        <v>111600</v>
      </c>
    </row>
    <row r="725" spans="1:10" x14ac:dyDescent="0.25">
      <c r="A725" t="s">
        <v>812</v>
      </c>
      <c r="B725" s="1">
        <v>45651</v>
      </c>
      <c r="C725" t="s">
        <v>749</v>
      </c>
      <c r="D725" t="s">
        <v>75</v>
      </c>
      <c r="E725" t="s">
        <v>879</v>
      </c>
      <c r="F725" t="s">
        <v>54</v>
      </c>
      <c r="G725" s="2">
        <v>2</v>
      </c>
      <c r="H725" s="2">
        <v>120000</v>
      </c>
      <c r="I725">
        <v>0.06</v>
      </c>
      <c r="J725" s="2">
        <v>225600</v>
      </c>
    </row>
    <row r="726" spans="1:10" x14ac:dyDescent="0.25">
      <c r="A726" t="s">
        <v>813</v>
      </c>
      <c r="B726" s="1">
        <v>45317</v>
      </c>
      <c r="C726" t="s">
        <v>814</v>
      </c>
      <c r="D726" t="s">
        <v>30</v>
      </c>
      <c r="E726" t="s">
        <v>879</v>
      </c>
      <c r="F726" t="s">
        <v>37</v>
      </c>
      <c r="G726" s="2">
        <v>3</v>
      </c>
      <c r="H726" s="2">
        <v>60000</v>
      </c>
      <c r="I726">
        <v>0.03</v>
      </c>
      <c r="J726" s="2">
        <v>174600</v>
      </c>
    </row>
    <row r="727" spans="1:10" x14ac:dyDescent="0.25">
      <c r="A727" t="s">
        <v>816</v>
      </c>
      <c r="B727" s="1">
        <v>45296</v>
      </c>
      <c r="C727" t="s">
        <v>814</v>
      </c>
      <c r="D727" t="s">
        <v>47</v>
      </c>
      <c r="E727" t="s">
        <v>878</v>
      </c>
      <c r="F727" t="s">
        <v>37</v>
      </c>
      <c r="G727" s="2">
        <v>1</v>
      </c>
      <c r="H727" s="2">
        <v>200000</v>
      </c>
      <c r="I727">
        <v>0.04</v>
      </c>
      <c r="J727" s="2">
        <v>192000</v>
      </c>
    </row>
    <row r="728" spans="1:10" x14ac:dyDescent="0.25">
      <c r="A728" t="s">
        <v>817</v>
      </c>
      <c r="B728" s="1">
        <v>45308</v>
      </c>
      <c r="C728" t="s">
        <v>814</v>
      </c>
      <c r="D728" t="s">
        <v>51</v>
      </c>
      <c r="E728" t="s">
        <v>877</v>
      </c>
      <c r="F728" t="s">
        <v>54</v>
      </c>
      <c r="G728" s="2">
        <v>3</v>
      </c>
      <c r="H728" s="2">
        <v>150000</v>
      </c>
      <c r="I728">
        <v>0.08</v>
      </c>
      <c r="J728" s="2">
        <v>414000</v>
      </c>
    </row>
    <row r="729" spans="1:10" x14ac:dyDescent="0.25">
      <c r="A729" t="s">
        <v>818</v>
      </c>
      <c r="B729" s="1">
        <v>45300</v>
      </c>
      <c r="C729" t="s">
        <v>814</v>
      </c>
      <c r="D729" t="s">
        <v>75</v>
      </c>
      <c r="E729" t="s">
        <v>878</v>
      </c>
      <c r="F729" t="s">
        <v>37</v>
      </c>
      <c r="G729" s="2">
        <v>1</v>
      </c>
      <c r="H729" s="2">
        <v>120000</v>
      </c>
      <c r="I729">
        <v>0.08</v>
      </c>
      <c r="J729" s="2">
        <v>110400</v>
      </c>
    </row>
    <row r="730" spans="1:10" x14ac:dyDescent="0.25">
      <c r="A730" t="s">
        <v>819</v>
      </c>
      <c r="B730" s="1">
        <v>45302</v>
      </c>
      <c r="C730" t="s">
        <v>814</v>
      </c>
      <c r="D730" t="s">
        <v>60</v>
      </c>
      <c r="E730" t="s">
        <v>879</v>
      </c>
      <c r="F730" t="s">
        <v>28</v>
      </c>
      <c r="G730" s="2">
        <v>4</v>
      </c>
      <c r="H730" s="2">
        <v>95000</v>
      </c>
      <c r="I730">
        <v>0.06</v>
      </c>
      <c r="J730" s="2">
        <v>357200</v>
      </c>
    </row>
    <row r="731" spans="1:10" x14ac:dyDescent="0.25">
      <c r="A731" t="s">
        <v>820</v>
      </c>
      <c r="B731" s="1">
        <v>45344</v>
      </c>
      <c r="C731" t="s">
        <v>814</v>
      </c>
      <c r="D731" t="s">
        <v>60</v>
      </c>
      <c r="E731" t="s">
        <v>880</v>
      </c>
      <c r="F731" t="s">
        <v>54</v>
      </c>
      <c r="G731" s="2">
        <v>3</v>
      </c>
      <c r="H731" s="2">
        <v>95000</v>
      </c>
      <c r="I731">
        <v>7.0000000000000007E-2</v>
      </c>
      <c r="J731" s="2">
        <v>265000</v>
      </c>
    </row>
    <row r="732" spans="1:10" x14ac:dyDescent="0.25">
      <c r="A732" t="s">
        <v>821</v>
      </c>
      <c r="B732" s="1">
        <v>45334</v>
      </c>
      <c r="C732" t="s">
        <v>814</v>
      </c>
      <c r="D732" t="s">
        <v>24</v>
      </c>
      <c r="E732" t="s">
        <v>877</v>
      </c>
      <c r="F732" t="s">
        <v>54</v>
      </c>
      <c r="G732" s="2">
        <v>5</v>
      </c>
      <c r="H732" s="2">
        <v>75000</v>
      </c>
      <c r="I732">
        <v>0.09</v>
      </c>
      <c r="J732" s="2">
        <v>341200</v>
      </c>
    </row>
    <row r="733" spans="1:10" x14ac:dyDescent="0.25">
      <c r="A733" t="s">
        <v>822</v>
      </c>
      <c r="B733" s="1">
        <v>45346</v>
      </c>
      <c r="C733" t="s">
        <v>814</v>
      </c>
      <c r="D733" t="s">
        <v>40</v>
      </c>
      <c r="E733" t="s">
        <v>877</v>
      </c>
      <c r="F733" t="s">
        <v>28</v>
      </c>
      <c r="G733" s="2">
        <v>5</v>
      </c>
      <c r="H733" s="2">
        <v>85000</v>
      </c>
      <c r="I733">
        <v>0.05</v>
      </c>
      <c r="J733" s="2">
        <v>403800</v>
      </c>
    </row>
    <row r="734" spans="1:10" x14ac:dyDescent="0.25">
      <c r="A734" t="s">
        <v>823</v>
      </c>
      <c r="B734" s="1">
        <v>45330</v>
      </c>
      <c r="C734" t="s">
        <v>814</v>
      </c>
      <c r="D734" t="s">
        <v>75</v>
      </c>
      <c r="E734" t="s">
        <v>877</v>
      </c>
      <c r="F734" t="s">
        <v>28</v>
      </c>
      <c r="G734" s="2">
        <v>3</v>
      </c>
      <c r="H734" s="2">
        <v>120000</v>
      </c>
      <c r="I734">
        <v>0.01</v>
      </c>
      <c r="J734" s="2">
        <v>356400</v>
      </c>
    </row>
    <row r="735" spans="1:10" x14ac:dyDescent="0.25">
      <c r="A735" t="s">
        <v>824</v>
      </c>
      <c r="B735" s="1">
        <v>45332</v>
      </c>
      <c r="C735" t="s">
        <v>814</v>
      </c>
      <c r="D735" t="s">
        <v>60</v>
      </c>
      <c r="E735" t="s">
        <v>880</v>
      </c>
      <c r="F735" t="s">
        <v>37</v>
      </c>
      <c r="G735" s="2">
        <v>4</v>
      </c>
      <c r="H735" s="2">
        <v>95000</v>
      </c>
      <c r="I735">
        <v>0.04</v>
      </c>
      <c r="J735" s="2">
        <v>364800</v>
      </c>
    </row>
    <row r="736" spans="1:10" x14ac:dyDescent="0.25">
      <c r="A736" t="s">
        <v>825</v>
      </c>
      <c r="B736" s="1">
        <v>45362</v>
      </c>
      <c r="C736" t="s">
        <v>814</v>
      </c>
      <c r="D736" t="s">
        <v>75</v>
      </c>
      <c r="E736" t="s">
        <v>877</v>
      </c>
      <c r="F736" t="s">
        <v>33</v>
      </c>
      <c r="G736" s="2">
        <v>4</v>
      </c>
      <c r="H736" s="2">
        <v>120000</v>
      </c>
      <c r="I736">
        <v>0.09</v>
      </c>
      <c r="J736" s="2">
        <v>436800</v>
      </c>
    </row>
    <row r="737" spans="1:10" x14ac:dyDescent="0.25">
      <c r="A737" t="s">
        <v>826</v>
      </c>
      <c r="B737" s="1">
        <v>45368</v>
      </c>
      <c r="C737" t="s">
        <v>814</v>
      </c>
      <c r="D737" t="s">
        <v>75</v>
      </c>
      <c r="E737" t="s">
        <v>877</v>
      </c>
      <c r="F737" t="s">
        <v>28</v>
      </c>
      <c r="G737" s="2">
        <v>2</v>
      </c>
      <c r="H737" s="2">
        <v>120000</v>
      </c>
      <c r="I737">
        <v>0.05</v>
      </c>
      <c r="J737" s="2">
        <v>228000</v>
      </c>
    </row>
    <row r="738" spans="1:10" x14ac:dyDescent="0.25">
      <c r="A738" t="s">
        <v>827</v>
      </c>
      <c r="B738" s="1">
        <v>45373</v>
      </c>
      <c r="C738" t="s">
        <v>814</v>
      </c>
      <c r="D738" t="s">
        <v>75</v>
      </c>
      <c r="E738" t="s">
        <v>877</v>
      </c>
      <c r="F738" t="s">
        <v>54</v>
      </c>
      <c r="G738" s="2">
        <v>3</v>
      </c>
      <c r="H738" s="2">
        <v>120000</v>
      </c>
      <c r="I738">
        <v>0.08</v>
      </c>
      <c r="J738" s="2">
        <v>331200</v>
      </c>
    </row>
    <row r="739" spans="1:10" x14ac:dyDescent="0.25">
      <c r="A739" t="s">
        <v>828</v>
      </c>
      <c r="B739" s="1">
        <v>45357</v>
      </c>
      <c r="C739" t="s">
        <v>814</v>
      </c>
      <c r="D739" t="s">
        <v>75</v>
      </c>
      <c r="E739" t="s">
        <v>879</v>
      </c>
      <c r="F739" t="s">
        <v>33</v>
      </c>
      <c r="G739" s="2">
        <v>1</v>
      </c>
      <c r="H739" s="2">
        <v>120000</v>
      </c>
      <c r="I739">
        <v>0</v>
      </c>
      <c r="J739" s="2">
        <v>120000</v>
      </c>
    </row>
    <row r="740" spans="1:10" x14ac:dyDescent="0.25">
      <c r="A740" t="s">
        <v>829</v>
      </c>
      <c r="B740" s="1">
        <v>45392</v>
      </c>
      <c r="C740" t="s">
        <v>814</v>
      </c>
      <c r="D740" t="s">
        <v>24</v>
      </c>
      <c r="E740" t="s">
        <v>878</v>
      </c>
      <c r="F740" t="s">
        <v>37</v>
      </c>
      <c r="G740" s="2">
        <v>3</v>
      </c>
      <c r="H740" s="2">
        <v>75000</v>
      </c>
      <c r="I740">
        <v>0.1</v>
      </c>
      <c r="J740" s="2">
        <v>202500</v>
      </c>
    </row>
    <row r="741" spans="1:10" x14ac:dyDescent="0.25">
      <c r="A741" t="s">
        <v>830</v>
      </c>
      <c r="B741" s="1">
        <v>45395</v>
      </c>
      <c r="C741" t="s">
        <v>814</v>
      </c>
      <c r="D741" t="s">
        <v>35</v>
      </c>
      <c r="E741" t="s">
        <v>880</v>
      </c>
      <c r="F741" t="s">
        <v>28</v>
      </c>
      <c r="G741" s="2">
        <v>5</v>
      </c>
      <c r="H741" s="2">
        <v>45000</v>
      </c>
      <c r="I741">
        <v>0.1</v>
      </c>
      <c r="J741" s="2">
        <v>202500</v>
      </c>
    </row>
    <row r="742" spans="1:10" x14ac:dyDescent="0.25">
      <c r="A742" t="s">
        <v>831</v>
      </c>
      <c r="B742" s="1">
        <v>45390</v>
      </c>
      <c r="C742" t="s">
        <v>814</v>
      </c>
      <c r="D742" t="s">
        <v>24</v>
      </c>
      <c r="E742" t="s">
        <v>878</v>
      </c>
      <c r="F742" t="s">
        <v>28</v>
      </c>
      <c r="G742" s="2">
        <v>5</v>
      </c>
      <c r="H742" s="2">
        <v>75000</v>
      </c>
      <c r="I742">
        <v>0.05</v>
      </c>
      <c r="J742" s="2">
        <v>356200</v>
      </c>
    </row>
    <row r="743" spans="1:10" x14ac:dyDescent="0.25">
      <c r="A743" t="s">
        <v>832</v>
      </c>
      <c r="B743" s="1">
        <v>45410</v>
      </c>
      <c r="C743" t="s">
        <v>814</v>
      </c>
      <c r="D743" t="s">
        <v>47</v>
      </c>
      <c r="E743" t="s">
        <v>877</v>
      </c>
      <c r="F743" t="s">
        <v>37</v>
      </c>
      <c r="G743" s="2">
        <v>2</v>
      </c>
      <c r="H743" s="2">
        <v>200000</v>
      </c>
      <c r="I743">
        <v>0.04</v>
      </c>
      <c r="J743" s="2">
        <v>384000</v>
      </c>
    </row>
    <row r="744" spans="1:10" x14ac:dyDescent="0.25">
      <c r="A744" t="s">
        <v>833</v>
      </c>
      <c r="B744" s="1">
        <v>45409</v>
      </c>
      <c r="C744" t="s">
        <v>814</v>
      </c>
      <c r="D744" t="s">
        <v>35</v>
      </c>
      <c r="E744" t="s">
        <v>877</v>
      </c>
      <c r="F744" t="s">
        <v>33</v>
      </c>
      <c r="G744" s="2">
        <v>3</v>
      </c>
      <c r="H744" s="2">
        <v>45000</v>
      </c>
      <c r="I744">
        <v>0.02</v>
      </c>
      <c r="J744" s="2">
        <v>132300</v>
      </c>
    </row>
    <row r="745" spans="1:10" x14ac:dyDescent="0.25">
      <c r="A745" t="s">
        <v>834</v>
      </c>
      <c r="B745" s="1">
        <v>45405</v>
      </c>
      <c r="C745" t="s">
        <v>814</v>
      </c>
      <c r="D745" t="s">
        <v>75</v>
      </c>
      <c r="E745" t="s">
        <v>879</v>
      </c>
      <c r="F745" t="s">
        <v>37</v>
      </c>
      <c r="G745" s="2">
        <v>1</v>
      </c>
      <c r="H745" s="2">
        <v>120000</v>
      </c>
      <c r="I745">
        <v>0.1</v>
      </c>
      <c r="J745" s="2">
        <v>108000</v>
      </c>
    </row>
    <row r="746" spans="1:10" x14ac:dyDescent="0.25">
      <c r="A746" t="s">
        <v>835</v>
      </c>
      <c r="B746" s="1">
        <v>45424</v>
      </c>
      <c r="C746" t="s">
        <v>814</v>
      </c>
      <c r="D746" t="s">
        <v>24</v>
      </c>
      <c r="E746" t="s">
        <v>877</v>
      </c>
      <c r="F746" t="s">
        <v>37</v>
      </c>
      <c r="G746" s="2">
        <v>1</v>
      </c>
      <c r="H746" s="2">
        <v>75000</v>
      </c>
      <c r="I746">
        <v>0.02</v>
      </c>
      <c r="J746" s="2">
        <v>73500</v>
      </c>
    </row>
    <row r="747" spans="1:10" x14ac:dyDescent="0.25">
      <c r="A747" t="s">
        <v>836</v>
      </c>
      <c r="B747" s="1">
        <v>45432</v>
      </c>
      <c r="C747" t="s">
        <v>814</v>
      </c>
      <c r="D747" t="s">
        <v>24</v>
      </c>
      <c r="E747" t="s">
        <v>877</v>
      </c>
      <c r="F747" t="s">
        <v>28</v>
      </c>
      <c r="G747" s="2">
        <v>3</v>
      </c>
      <c r="H747" s="2">
        <v>75000</v>
      </c>
      <c r="I747">
        <v>0.06</v>
      </c>
      <c r="J747" s="2">
        <v>211500</v>
      </c>
    </row>
    <row r="748" spans="1:10" x14ac:dyDescent="0.25">
      <c r="A748" t="s">
        <v>837</v>
      </c>
      <c r="B748" s="1">
        <v>45438</v>
      </c>
      <c r="C748" t="s">
        <v>814</v>
      </c>
      <c r="D748" t="s">
        <v>40</v>
      </c>
      <c r="E748" t="s">
        <v>879</v>
      </c>
      <c r="F748" t="s">
        <v>54</v>
      </c>
      <c r="G748" s="2">
        <v>3</v>
      </c>
      <c r="H748" s="2">
        <v>85000</v>
      </c>
      <c r="I748">
        <v>0.1</v>
      </c>
      <c r="J748" s="2">
        <v>229500</v>
      </c>
    </row>
    <row r="749" spans="1:10" x14ac:dyDescent="0.25">
      <c r="A749" t="s">
        <v>838</v>
      </c>
      <c r="B749" s="1">
        <v>45433</v>
      </c>
      <c r="C749" t="s">
        <v>814</v>
      </c>
      <c r="D749" t="s">
        <v>60</v>
      </c>
      <c r="E749" t="s">
        <v>879</v>
      </c>
      <c r="F749" t="s">
        <v>28</v>
      </c>
      <c r="G749" s="2">
        <v>1</v>
      </c>
      <c r="H749" s="2">
        <v>95000</v>
      </c>
      <c r="I749">
        <v>0.1</v>
      </c>
      <c r="J749" s="2">
        <v>85500</v>
      </c>
    </row>
    <row r="750" spans="1:10" x14ac:dyDescent="0.25">
      <c r="A750" t="s">
        <v>839</v>
      </c>
      <c r="B750" s="1">
        <v>45448</v>
      </c>
      <c r="C750" t="s">
        <v>814</v>
      </c>
      <c r="D750" t="s">
        <v>40</v>
      </c>
      <c r="E750" t="s">
        <v>878</v>
      </c>
      <c r="F750" t="s">
        <v>28</v>
      </c>
      <c r="G750" s="2">
        <v>2</v>
      </c>
      <c r="H750" s="2">
        <v>85000</v>
      </c>
      <c r="I750">
        <v>0.08</v>
      </c>
      <c r="J750" s="2">
        <v>156400</v>
      </c>
    </row>
    <row r="751" spans="1:10" x14ac:dyDescent="0.25">
      <c r="A751" t="s">
        <v>840</v>
      </c>
      <c r="B751" s="1">
        <v>45463</v>
      </c>
      <c r="C751" t="s">
        <v>814</v>
      </c>
      <c r="D751" t="s">
        <v>24</v>
      </c>
      <c r="E751" t="s">
        <v>877</v>
      </c>
      <c r="F751" t="s">
        <v>37</v>
      </c>
      <c r="G751" s="2">
        <v>5</v>
      </c>
      <c r="H751" s="2">
        <v>75000</v>
      </c>
      <c r="I751">
        <v>0.08</v>
      </c>
      <c r="J751" s="2">
        <v>345000</v>
      </c>
    </row>
    <row r="752" spans="1:10" x14ac:dyDescent="0.25">
      <c r="A752" t="s">
        <v>841</v>
      </c>
      <c r="B752" s="1">
        <v>45448</v>
      </c>
      <c r="C752" t="s">
        <v>814</v>
      </c>
      <c r="D752" t="s">
        <v>60</v>
      </c>
      <c r="E752" t="s">
        <v>880</v>
      </c>
      <c r="F752" t="s">
        <v>33</v>
      </c>
      <c r="G752" s="2">
        <v>4</v>
      </c>
      <c r="H752" s="2">
        <v>95000</v>
      </c>
      <c r="I752">
        <v>0.02</v>
      </c>
      <c r="J752" s="2">
        <v>372400</v>
      </c>
    </row>
    <row r="753" spans="1:10" x14ac:dyDescent="0.25">
      <c r="A753" t="s">
        <v>842</v>
      </c>
      <c r="B753" s="1">
        <v>45469</v>
      </c>
      <c r="C753" t="s">
        <v>814</v>
      </c>
      <c r="D753" t="s">
        <v>30</v>
      </c>
      <c r="E753" t="s">
        <v>878</v>
      </c>
      <c r="F753" t="s">
        <v>28</v>
      </c>
      <c r="G753" s="2">
        <v>2</v>
      </c>
      <c r="H753" s="2">
        <v>60000</v>
      </c>
      <c r="I753">
        <v>0.11</v>
      </c>
      <c r="J753" s="2">
        <v>106800</v>
      </c>
    </row>
    <row r="754" spans="1:10" x14ac:dyDescent="0.25">
      <c r="A754" t="s">
        <v>843</v>
      </c>
      <c r="B754" s="1">
        <v>45456</v>
      </c>
      <c r="C754" t="s">
        <v>814</v>
      </c>
      <c r="D754" t="s">
        <v>47</v>
      </c>
      <c r="E754" t="s">
        <v>877</v>
      </c>
      <c r="F754" t="s">
        <v>54</v>
      </c>
      <c r="G754" s="2">
        <v>3</v>
      </c>
      <c r="H754" s="2">
        <v>200000</v>
      </c>
      <c r="I754">
        <v>0.06</v>
      </c>
      <c r="J754" s="2">
        <v>564000</v>
      </c>
    </row>
    <row r="755" spans="1:10" x14ac:dyDescent="0.25">
      <c r="A755" t="s">
        <v>844</v>
      </c>
      <c r="B755" s="1">
        <v>45448</v>
      </c>
      <c r="C755" t="s">
        <v>814</v>
      </c>
      <c r="D755" t="s">
        <v>51</v>
      </c>
      <c r="E755" t="s">
        <v>879</v>
      </c>
      <c r="F755" t="s">
        <v>33</v>
      </c>
      <c r="G755" s="2">
        <v>2</v>
      </c>
      <c r="H755" s="2">
        <v>150000</v>
      </c>
      <c r="I755">
        <v>0.11</v>
      </c>
      <c r="J755" s="2">
        <v>267000</v>
      </c>
    </row>
    <row r="756" spans="1:10" x14ac:dyDescent="0.25">
      <c r="A756" t="s">
        <v>845</v>
      </c>
      <c r="B756" s="1">
        <v>45448</v>
      </c>
      <c r="C756" t="s">
        <v>814</v>
      </c>
      <c r="D756" t="s">
        <v>35</v>
      </c>
      <c r="E756" t="s">
        <v>879</v>
      </c>
      <c r="F756" t="s">
        <v>28</v>
      </c>
      <c r="G756" s="2">
        <v>1</v>
      </c>
      <c r="H756" s="2">
        <v>45000</v>
      </c>
      <c r="I756">
        <v>0.04</v>
      </c>
      <c r="J756" s="2">
        <v>43200</v>
      </c>
    </row>
    <row r="757" spans="1:10" x14ac:dyDescent="0.25">
      <c r="A757" t="s">
        <v>846</v>
      </c>
      <c r="B757" s="1">
        <v>45476</v>
      </c>
      <c r="C757" t="s">
        <v>814</v>
      </c>
      <c r="D757" t="s">
        <v>51</v>
      </c>
      <c r="E757" t="s">
        <v>877</v>
      </c>
      <c r="F757" t="s">
        <v>37</v>
      </c>
      <c r="G757" s="2">
        <v>4</v>
      </c>
      <c r="H757" s="2">
        <v>150000</v>
      </c>
      <c r="I757">
        <v>0.05</v>
      </c>
      <c r="J757" s="2">
        <v>570000</v>
      </c>
    </row>
    <row r="758" spans="1:10" x14ac:dyDescent="0.25">
      <c r="A758" t="s">
        <v>847</v>
      </c>
      <c r="B758" s="1">
        <v>45480</v>
      </c>
      <c r="C758" t="s">
        <v>814</v>
      </c>
      <c r="D758" t="s">
        <v>40</v>
      </c>
      <c r="E758" t="s">
        <v>878</v>
      </c>
      <c r="F758" t="s">
        <v>54</v>
      </c>
      <c r="G758" s="2">
        <v>5</v>
      </c>
      <c r="H758" s="2">
        <v>85000</v>
      </c>
      <c r="I758">
        <v>0.09</v>
      </c>
      <c r="J758" s="2">
        <v>386800</v>
      </c>
    </row>
    <row r="759" spans="1:10" x14ac:dyDescent="0.25">
      <c r="A759" t="s">
        <v>848</v>
      </c>
      <c r="B759" s="1">
        <v>45479</v>
      </c>
      <c r="C759" t="s">
        <v>814</v>
      </c>
      <c r="D759" t="s">
        <v>24</v>
      </c>
      <c r="E759" t="s">
        <v>877</v>
      </c>
      <c r="F759" t="s">
        <v>28</v>
      </c>
      <c r="G759" s="2">
        <v>2</v>
      </c>
      <c r="H759" s="2">
        <v>75000</v>
      </c>
      <c r="I759">
        <v>0.09</v>
      </c>
      <c r="J759" s="2">
        <v>136500</v>
      </c>
    </row>
    <row r="760" spans="1:10" x14ac:dyDescent="0.25">
      <c r="A760" t="s">
        <v>849</v>
      </c>
      <c r="B760" s="1">
        <v>45496</v>
      </c>
      <c r="C760" t="s">
        <v>814</v>
      </c>
      <c r="D760" t="s">
        <v>75</v>
      </c>
      <c r="E760" t="s">
        <v>879</v>
      </c>
      <c r="F760" t="s">
        <v>33</v>
      </c>
      <c r="G760" s="2">
        <v>5</v>
      </c>
      <c r="H760" s="2">
        <v>120000</v>
      </c>
      <c r="I760">
        <v>0.06</v>
      </c>
      <c r="J760" s="2">
        <v>564000</v>
      </c>
    </row>
    <row r="761" spans="1:10" x14ac:dyDescent="0.25">
      <c r="A761" t="s">
        <v>850</v>
      </c>
      <c r="B761" s="1">
        <v>45488</v>
      </c>
      <c r="C761" t="s">
        <v>814</v>
      </c>
      <c r="D761" t="s">
        <v>75</v>
      </c>
      <c r="E761" t="s">
        <v>880</v>
      </c>
      <c r="F761" t="s">
        <v>37</v>
      </c>
      <c r="G761" s="2">
        <v>3</v>
      </c>
      <c r="H761" s="2">
        <v>120000</v>
      </c>
      <c r="I761">
        <v>0.06</v>
      </c>
      <c r="J761" s="2">
        <v>338400</v>
      </c>
    </row>
    <row r="762" spans="1:10" x14ac:dyDescent="0.25">
      <c r="A762" t="s">
        <v>851</v>
      </c>
      <c r="B762" s="1">
        <v>45521</v>
      </c>
      <c r="C762" t="s">
        <v>814</v>
      </c>
      <c r="D762" t="s">
        <v>35</v>
      </c>
      <c r="E762" t="s">
        <v>879</v>
      </c>
      <c r="F762" t="s">
        <v>37</v>
      </c>
      <c r="G762" s="2">
        <v>4</v>
      </c>
      <c r="H762" s="2">
        <v>45000</v>
      </c>
      <c r="I762">
        <v>0.12</v>
      </c>
      <c r="J762" s="2">
        <v>158400</v>
      </c>
    </row>
    <row r="763" spans="1:10" x14ac:dyDescent="0.25">
      <c r="A763" t="s">
        <v>852</v>
      </c>
      <c r="B763" s="1">
        <v>45516</v>
      </c>
      <c r="C763" t="s">
        <v>814</v>
      </c>
      <c r="D763" t="s">
        <v>35</v>
      </c>
      <c r="E763" t="s">
        <v>879</v>
      </c>
      <c r="F763" t="s">
        <v>37</v>
      </c>
      <c r="G763" s="2">
        <v>3</v>
      </c>
      <c r="H763" s="2">
        <v>45000</v>
      </c>
      <c r="I763">
        <v>0.06</v>
      </c>
      <c r="J763" s="2">
        <v>126900</v>
      </c>
    </row>
    <row r="764" spans="1:10" x14ac:dyDescent="0.25">
      <c r="A764" t="s">
        <v>853</v>
      </c>
      <c r="B764" s="1">
        <v>45515</v>
      </c>
      <c r="C764" t="s">
        <v>814</v>
      </c>
      <c r="D764" t="s">
        <v>75</v>
      </c>
      <c r="E764" t="s">
        <v>877</v>
      </c>
      <c r="F764" t="s">
        <v>54</v>
      </c>
      <c r="G764" s="2">
        <v>2</v>
      </c>
      <c r="H764" s="2">
        <v>120000</v>
      </c>
      <c r="I764">
        <v>0.1</v>
      </c>
      <c r="J764" s="2">
        <v>216000</v>
      </c>
    </row>
    <row r="765" spans="1:10" x14ac:dyDescent="0.25">
      <c r="A765" t="s">
        <v>854</v>
      </c>
      <c r="B765" s="1">
        <v>45558</v>
      </c>
      <c r="C765" t="s">
        <v>814</v>
      </c>
      <c r="D765" t="s">
        <v>30</v>
      </c>
      <c r="E765" t="s">
        <v>879</v>
      </c>
      <c r="F765" t="s">
        <v>28</v>
      </c>
      <c r="G765" s="2">
        <v>2</v>
      </c>
      <c r="H765" s="2">
        <v>60000</v>
      </c>
      <c r="I765">
        <v>0.02</v>
      </c>
      <c r="J765" s="2">
        <v>117600</v>
      </c>
    </row>
    <row r="766" spans="1:10" x14ac:dyDescent="0.25">
      <c r="A766" t="s">
        <v>855</v>
      </c>
      <c r="B766" s="1">
        <v>45547</v>
      </c>
      <c r="C766" t="s">
        <v>814</v>
      </c>
      <c r="D766" t="s">
        <v>35</v>
      </c>
      <c r="E766" t="s">
        <v>878</v>
      </c>
      <c r="F766" t="s">
        <v>28</v>
      </c>
      <c r="G766" s="2">
        <v>2</v>
      </c>
      <c r="H766" s="2">
        <v>45000</v>
      </c>
      <c r="I766">
        <v>7.0000000000000007E-2</v>
      </c>
      <c r="J766" s="2">
        <v>83700</v>
      </c>
    </row>
    <row r="767" spans="1:10" x14ac:dyDescent="0.25">
      <c r="A767" t="s">
        <v>856</v>
      </c>
      <c r="B767" s="1">
        <v>45536</v>
      </c>
      <c r="C767" t="s">
        <v>814</v>
      </c>
      <c r="D767" t="s">
        <v>24</v>
      </c>
      <c r="E767" t="s">
        <v>880</v>
      </c>
      <c r="F767" t="s">
        <v>37</v>
      </c>
      <c r="G767" s="2">
        <v>1</v>
      </c>
      <c r="H767" s="2">
        <v>75000</v>
      </c>
      <c r="I767">
        <v>0.05</v>
      </c>
      <c r="J767" s="2">
        <v>71200</v>
      </c>
    </row>
    <row r="768" spans="1:10" x14ac:dyDescent="0.25">
      <c r="A768" t="s">
        <v>857</v>
      </c>
      <c r="B768" s="1">
        <v>45558</v>
      </c>
      <c r="C768" t="s">
        <v>814</v>
      </c>
      <c r="D768" t="s">
        <v>51</v>
      </c>
      <c r="E768" t="s">
        <v>877</v>
      </c>
      <c r="F768" t="s">
        <v>33</v>
      </c>
      <c r="G768" s="2">
        <v>3</v>
      </c>
      <c r="H768" s="2">
        <v>150000</v>
      </c>
      <c r="I768">
        <v>0.04</v>
      </c>
      <c r="J768" s="2">
        <v>432000</v>
      </c>
    </row>
    <row r="769" spans="1:10" x14ac:dyDescent="0.25">
      <c r="A769" t="s">
        <v>858</v>
      </c>
      <c r="B769" s="1">
        <v>45538</v>
      </c>
      <c r="C769" t="s">
        <v>814</v>
      </c>
      <c r="D769" t="s">
        <v>51</v>
      </c>
      <c r="E769" t="s">
        <v>879</v>
      </c>
      <c r="F769" t="s">
        <v>28</v>
      </c>
      <c r="G769" s="2">
        <v>5</v>
      </c>
      <c r="H769" s="2">
        <v>150000</v>
      </c>
      <c r="I769">
        <v>0.11</v>
      </c>
      <c r="J769" s="2">
        <v>667500</v>
      </c>
    </row>
    <row r="770" spans="1:10" x14ac:dyDescent="0.25">
      <c r="A770" t="s">
        <v>859</v>
      </c>
      <c r="B770" s="1">
        <v>45545</v>
      </c>
      <c r="C770" t="s">
        <v>814</v>
      </c>
      <c r="D770" t="s">
        <v>51</v>
      </c>
      <c r="E770" t="s">
        <v>880</v>
      </c>
      <c r="F770" t="s">
        <v>28</v>
      </c>
      <c r="G770" s="2">
        <v>4</v>
      </c>
      <c r="H770" s="2">
        <v>150000</v>
      </c>
      <c r="I770">
        <v>0.05</v>
      </c>
      <c r="J770" s="2">
        <v>570000</v>
      </c>
    </row>
    <row r="771" spans="1:10" x14ac:dyDescent="0.25">
      <c r="A771" t="s">
        <v>860</v>
      </c>
      <c r="B771" s="1">
        <v>45560</v>
      </c>
      <c r="C771" t="s">
        <v>814</v>
      </c>
      <c r="D771" t="s">
        <v>24</v>
      </c>
      <c r="E771" t="s">
        <v>877</v>
      </c>
      <c r="F771" t="s">
        <v>54</v>
      </c>
      <c r="G771" s="2">
        <v>2</v>
      </c>
      <c r="H771" s="2">
        <v>75000</v>
      </c>
      <c r="I771">
        <v>0.06</v>
      </c>
      <c r="J771" s="2">
        <v>141000</v>
      </c>
    </row>
    <row r="772" spans="1:10" x14ac:dyDescent="0.25">
      <c r="A772" t="s">
        <v>861</v>
      </c>
      <c r="B772" s="1">
        <v>45566</v>
      </c>
      <c r="C772" t="s">
        <v>814</v>
      </c>
      <c r="D772" t="s">
        <v>51</v>
      </c>
      <c r="E772" t="s">
        <v>880</v>
      </c>
      <c r="F772" t="s">
        <v>37</v>
      </c>
      <c r="G772" s="2">
        <v>1</v>
      </c>
      <c r="H772" s="2">
        <v>150000</v>
      </c>
      <c r="I772">
        <v>0.09</v>
      </c>
      <c r="J772" s="2">
        <v>136500</v>
      </c>
    </row>
    <row r="773" spans="1:10" x14ac:dyDescent="0.25">
      <c r="A773" t="s">
        <v>862</v>
      </c>
      <c r="B773" s="1">
        <v>45575</v>
      </c>
      <c r="C773" t="s">
        <v>814</v>
      </c>
      <c r="D773" t="s">
        <v>40</v>
      </c>
      <c r="E773" t="s">
        <v>880</v>
      </c>
      <c r="F773" t="s">
        <v>37</v>
      </c>
      <c r="G773" s="2">
        <v>3</v>
      </c>
      <c r="H773" s="2">
        <v>85000</v>
      </c>
      <c r="I773">
        <v>0.05</v>
      </c>
      <c r="J773" s="2">
        <v>242200</v>
      </c>
    </row>
    <row r="774" spans="1:10" x14ac:dyDescent="0.25">
      <c r="A774" t="s">
        <v>863</v>
      </c>
      <c r="B774" s="1">
        <v>45590</v>
      </c>
      <c r="C774" t="s">
        <v>814</v>
      </c>
      <c r="D774" t="s">
        <v>35</v>
      </c>
      <c r="E774" t="s">
        <v>877</v>
      </c>
      <c r="F774" t="s">
        <v>37</v>
      </c>
      <c r="G774" s="2">
        <v>2</v>
      </c>
      <c r="H774" s="2">
        <v>45000</v>
      </c>
      <c r="I774">
        <v>0.09</v>
      </c>
      <c r="J774" s="2">
        <v>81900</v>
      </c>
    </row>
    <row r="775" spans="1:10" x14ac:dyDescent="0.25">
      <c r="A775" t="s">
        <v>864</v>
      </c>
      <c r="B775" s="1">
        <v>45574</v>
      </c>
      <c r="C775" t="s">
        <v>814</v>
      </c>
      <c r="D775" t="s">
        <v>40</v>
      </c>
      <c r="E775" t="s">
        <v>878</v>
      </c>
      <c r="F775" t="s">
        <v>33</v>
      </c>
      <c r="G775" s="2">
        <v>4</v>
      </c>
      <c r="H775" s="2">
        <v>85000</v>
      </c>
      <c r="I775">
        <v>0.11</v>
      </c>
      <c r="J775" s="2">
        <v>302600</v>
      </c>
    </row>
    <row r="776" spans="1:10" x14ac:dyDescent="0.25">
      <c r="A776" t="s">
        <v>865</v>
      </c>
      <c r="B776" s="1">
        <v>45577</v>
      </c>
      <c r="C776" t="s">
        <v>814</v>
      </c>
      <c r="D776" t="s">
        <v>35</v>
      </c>
      <c r="E776" t="s">
        <v>879</v>
      </c>
      <c r="F776" t="s">
        <v>37</v>
      </c>
      <c r="G776" s="2">
        <v>5</v>
      </c>
      <c r="H776" s="2">
        <v>45000</v>
      </c>
      <c r="I776">
        <v>0.01</v>
      </c>
      <c r="J776" s="2">
        <v>222800</v>
      </c>
    </row>
    <row r="777" spans="1:10" x14ac:dyDescent="0.25">
      <c r="A777" t="s">
        <v>866</v>
      </c>
      <c r="B777" s="1">
        <v>45579</v>
      </c>
      <c r="C777" t="s">
        <v>814</v>
      </c>
      <c r="D777" t="s">
        <v>24</v>
      </c>
      <c r="E777" t="s">
        <v>878</v>
      </c>
      <c r="F777" t="s">
        <v>37</v>
      </c>
      <c r="G777" s="2">
        <v>1</v>
      </c>
      <c r="H777" s="2">
        <v>75000</v>
      </c>
      <c r="I777">
        <v>0.02</v>
      </c>
      <c r="J777" s="2">
        <v>73500</v>
      </c>
    </row>
    <row r="778" spans="1:10" x14ac:dyDescent="0.25">
      <c r="A778" t="s">
        <v>867</v>
      </c>
      <c r="B778" s="1">
        <v>45615</v>
      </c>
      <c r="C778" t="s">
        <v>814</v>
      </c>
      <c r="D778" t="s">
        <v>47</v>
      </c>
      <c r="E778" t="s">
        <v>878</v>
      </c>
      <c r="F778" t="s">
        <v>33</v>
      </c>
      <c r="G778" s="2">
        <v>5</v>
      </c>
      <c r="H778" s="2">
        <v>200000</v>
      </c>
      <c r="I778">
        <v>0.05</v>
      </c>
      <c r="J778" s="2">
        <v>950000</v>
      </c>
    </row>
    <row r="779" spans="1:10" x14ac:dyDescent="0.25">
      <c r="A779" t="s">
        <v>868</v>
      </c>
      <c r="B779" s="1">
        <v>45611</v>
      </c>
      <c r="C779" t="s">
        <v>814</v>
      </c>
      <c r="D779" t="s">
        <v>30</v>
      </c>
      <c r="E779" t="s">
        <v>877</v>
      </c>
      <c r="F779" t="s">
        <v>28</v>
      </c>
      <c r="G779" s="2">
        <v>3</v>
      </c>
      <c r="H779" s="2">
        <v>60000</v>
      </c>
      <c r="I779">
        <v>0.11</v>
      </c>
      <c r="J779" s="2">
        <v>160200</v>
      </c>
    </row>
    <row r="780" spans="1:10" x14ac:dyDescent="0.25">
      <c r="A780" t="s">
        <v>869</v>
      </c>
      <c r="B780" s="1">
        <v>45641</v>
      </c>
      <c r="C780" t="s">
        <v>814</v>
      </c>
      <c r="D780" t="s">
        <v>35</v>
      </c>
      <c r="E780" t="s">
        <v>878</v>
      </c>
      <c r="F780" t="s">
        <v>33</v>
      </c>
      <c r="G780" s="2">
        <v>5</v>
      </c>
      <c r="H780" s="2">
        <v>45000</v>
      </c>
      <c r="I780">
        <v>0.11</v>
      </c>
      <c r="J780" s="2">
        <v>200200</v>
      </c>
    </row>
    <row r="781" spans="1:10" x14ac:dyDescent="0.25">
      <c r="A781" t="s">
        <v>870</v>
      </c>
      <c r="B781" s="1">
        <v>45648</v>
      </c>
      <c r="C781" t="s">
        <v>814</v>
      </c>
      <c r="D781" t="s">
        <v>30</v>
      </c>
      <c r="E781" t="s">
        <v>877</v>
      </c>
      <c r="F781" t="s">
        <v>37</v>
      </c>
      <c r="G781" s="2">
        <v>5</v>
      </c>
      <c r="H781" s="2">
        <v>60000</v>
      </c>
      <c r="I781">
        <v>0.05</v>
      </c>
      <c r="J781" s="2">
        <v>285000</v>
      </c>
    </row>
    <row r="782" spans="1:10" x14ac:dyDescent="0.25">
      <c r="A782" t="s">
        <v>871</v>
      </c>
      <c r="B782" s="1">
        <v>45654</v>
      </c>
      <c r="C782" t="s">
        <v>814</v>
      </c>
      <c r="D782" t="s">
        <v>24</v>
      </c>
      <c r="E782" t="s">
        <v>880</v>
      </c>
      <c r="F782" t="s">
        <v>28</v>
      </c>
      <c r="G782" s="2">
        <v>2</v>
      </c>
      <c r="H782" s="2">
        <v>75000</v>
      </c>
      <c r="I782">
        <v>0.01</v>
      </c>
      <c r="J782" s="2">
        <v>148500</v>
      </c>
    </row>
    <row r="783" spans="1:10" x14ac:dyDescent="0.25">
      <c r="A783" t="s">
        <v>872</v>
      </c>
      <c r="B783" s="1">
        <v>45654</v>
      </c>
      <c r="C783" t="s">
        <v>814</v>
      </c>
      <c r="D783" t="s">
        <v>75</v>
      </c>
      <c r="E783" t="s">
        <v>879</v>
      </c>
      <c r="F783" t="s">
        <v>28</v>
      </c>
      <c r="G783" s="2">
        <v>5</v>
      </c>
      <c r="H783" s="2">
        <v>120000</v>
      </c>
      <c r="I783">
        <v>7.0000000000000007E-2</v>
      </c>
      <c r="J783" s="2">
        <v>558000</v>
      </c>
    </row>
    <row r="784" spans="1:10" x14ac:dyDescent="0.25">
      <c r="A784" t="s">
        <v>873</v>
      </c>
      <c r="B784" s="1">
        <v>45643</v>
      </c>
      <c r="C784" t="s">
        <v>814</v>
      </c>
      <c r="D784" t="s">
        <v>30</v>
      </c>
      <c r="E784" t="s">
        <v>878</v>
      </c>
      <c r="F784" t="s">
        <v>33</v>
      </c>
      <c r="G784" s="2">
        <v>4</v>
      </c>
      <c r="H784" s="2">
        <v>60000</v>
      </c>
      <c r="I784">
        <v>0.09</v>
      </c>
      <c r="J784" s="2">
        <v>218400</v>
      </c>
    </row>
    <row r="785" spans="1:10" x14ac:dyDescent="0.25">
      <c r="A785" t="s">
        <v>874</v>
      </c>
      <c r="B785" s="1">
        <v>45634</v>
      </c>
      <c r="C785" t="s">
        <v>814</v>
      </c>
      <c r="D785" t="s">
        <v>75</v>
      </c>
      <c r="E785" t="s">
        <v>877</v>
      </c>
      <c r="F785" t="s">
        <v>37</v>
      </c>
      <c r="G785" s="2">
        <v>2</v>
      </c>
      <c r="H785" s="2">
        <v>120000</v>
      </c>
      <c r="I785">
        <v>0.1</v>
      </c>
      <c r="J785" s="2">
        <v>216000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sales_transactions_raw</vt:lpstr>
      <vt:lpstr>dim_rep</vt:lpstr>
      <vt:lpstr>dim_product</vt:lpstr>
      <vt:lpstr>dim_segment</vt:lpstr>
      <vt:lpstr>dim_date</vt:lpstr>
      <vt:lpstr>dim_month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Teefeh</dc:creator>
  <cp:lastModifiedBy>Boluwatife Akotun</cp:lastModifiedBy>
  <dcterms:created xsi:type="dcterms:W3CDTF">2026-06-27T07:02:32Z</dcterms:created>
  <dcterms:modified xsi:type="dcterms:W3CDTF">2026-06-27T07:54:15Z</dcterms:modified>
</cp:coreProperties>
</file>